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âmetros" sheetId="2" state="visible" r:id="rId4"/>
    <sheet name="Criticidade" sheetId="3" state="visible" r:id="rId5"/>
    <sheet name="Plano Preventivo" sheetId="4" state="visible" r:id="rId6"/>
    <sheet name="Controle Horímetro" sheetId="5" state="visible" r:id="rId7"/>
    <sheet name="Cronograma 52 sem" sheetId="6" state="visible" r:id="rId8"/>
    <sheet name="Checklist Diário" sheetId="7" state="visible" r:id="rId9"/>
    <sheet name="Ordem de Serviço" sheetId="8" state="visible" r:id="rId10"/>
    <sheet name="Treinamento" sheetId="9" state="visible" r:id="rId11"/>
    <sheet name="Diagnóstico" sheetId="10" state="visible" r:id="rId12"/>
    <sheet name="Insumos e Ferramentas" sheetId="11" state="visible" r:id="rId13"/>
  </sheets>
  <definedNames>
    <definedName function="false" hidden="false" localSheetId="3" name="_xlnm.Print_Titles" vbProcedure="false">'Plano Preventivo'!$4:$4</definedName>
    <definedName function="false" hidden="true" localSheetId="3" name="_xlnm._FilterDatabase" vbProcedure="false">'Plano Preventivo'!$A$4:$L$59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<sst xmlns="http://schemas.openxmlformats.org/spreadsheetml/2006/main" count="1335" uniqueCount="858">
  <si>
    <t xml:space="preserve">Plano de Manutenção Preventiva — Empilhadeira Elétrica Vonder EEV 1500 (1,5 tf)</t>
  </si>
  <si>
    <t xml:space="preserve">Base: Manual de Instruções Vonder EEV 1500 (cód. 68.57.150.010). Itens marcados 'Boa prática' não constam no manual.</t>
  </si>
  <si>
    <t xml:space="preserve">COMO USAR</t>
  </si>
  <si>
    <t xml:space="preserve">1. Criticidade</t>
  </si>
  <si>
    <t xml:space="preserve">Aba 'Criticidade': cada componente recebe notas de 1 a 5 (Segurança, Qualidade, Disponibilidade, Probabilidade). O índice e a classe A/B/C são calculados por fórmula. Ajuste as notas à sua realidade (células amarelas) e o plano inteiro se reordena na prioridade.</t>
  </si>
  <si>
    <t xml:space="preserve">2. Plano</t>
  </si>
  <si>
    <t xml:space="preserve">Aba 'Plano Preventivo': todas as atividades, com frequência, gatilho em horas, executor, critério de aceitação, EPI, ferramenta e referência no manual. Ordenado por frequência e, dentro dela, por criticidade.</t>
  </si>
  <si>
    <t xml:space="preserve">3. Controle</t>
  </si>
  <si>
    <t xml:space="preserve">Aba 'Controle Horímetro': digite o horímetro atual e o horímetro/data da última execução de cada nível. A planilha mostra o que está VENCIDO, a PROGRAMAR ou OK (vale o que vencer primeiro: horas ou dias).</t>
  </si>
  <si>
    <t xml:space="preserve">4. Execução</t>
  </si>
  <si>
    <t xml:space="preserve">Imprima 'Checklist Diário' (operador, 1 folha por semana) e use 'Ordem de Serviço' para cada preventiva semanal em diante. Guarde os registros (NR-12 exige registro das manutenções).</t>
  </si>
  <si>
    <t xml:space="preserve">5. Treinamento</t>
  </si>
  <si>
    <t xml:space="preserve">Aba 'Treinamento': módulos, carga horária sugerida e matriz de habilitação por assistente. Ninguém executa atividade de um nível para o qual não está habilitado.</t>
  </si>
  <si>
    <t xml:space="preserve">NÍVEIS DE EXECUTOR</t>
  </si>
  <si>
    <t xml:space="preserve">N1 — Operador</t>
  </si>
  <si>
    <t xml:space="preserve">Inspeção pré-uso e pós-uso, carga de bateria. Só verifica e reporta; não desmonta nada. Exige treinamento e cartão de identificação (NR-11, itens 11.1.5 e 11.1.6; cartão com validade de 1 ano).</t>
  </si>
  <si>
    <t xml:space="preserve">N2 — Assistente de manutenção</t>
  </si>
  <si>
    <t xml:space="preserve">Limpeza, aperto, lubrificação, nível de óleo e eletrólito, densidade, inspeções visuais e funcionais, carga equalizadora. Só após módulos M1 a M7 aprovados.</t>
  </si>
  <si>
    <t xml:space="preserve">N3 — Técnico / Assistência Técnica Autorizada Vonder</t>
  </si>
  <si>
    <t xml:space="preserve">Ajuste de freio, contator, escovas, troca de óleo hidráulico e de engrenagem, válvula de segurança, controlador, rolamentos. Durante a garantia, OBRIGATORIAMENTE na Assistência Autorizada (ver abaixo).</t>
  </si>
  <si>
    <t xml:space="preserve">CLASSES DE CRITICIDADE</t>
  </si>
  <si>
    <t xml:space="preserve">A (vermelho)</t>
  </si>
  <si>
    <t xml:space="preserve">Falha pode ferir pessoas ou derrubar carga. Item NC = máquina BLOQUEADA até correção (etiqueta 'NÃO OPERE').</t>
  </si>
  <si>
    <t xml:space="preserve">B (amarelo)</t>
  </si>
  <si>
    <t xml:space="preserve">Falha para a máquina ou gera risco moderado. Corrigir em até 48 h; operar só se o líder liberar por escrito.</t>
  </si>
  <si>
    <t xml:space="preserve">C (verde)</t>
  </si>
  <si>
    <t xml:space="preserve">Falha com baixo impacto. Corrigir na próxima preventiva programada.</t>
  </si>
  <si>
    <t xml:space="preserve">GARANTIA (manual, p. 64)</t>
  </si>
  <si>
    <t xml:space="preserve">90 dias de garantia legal + 9 meses contratual (total 12 meses). Perde a garantia se o produto for aberto, alterado, ajustado ou consertado por pessoa não autorizada pela Vonder, ou por falta de manutenção. Locadoras: só 90 dias. Por isso, nos primeiros 12 meses, todas as tarefas N3 vão para a Assistência Autorizada; as tarefas N1/N2 (sem abrir componentes) ficam com a equipe interna e devem ser registradas (prova de manutenção). Contato Vonder: 0800 723 4762, opção 1; www.vonder.com.br.</t>
  </si>
  <si>
    <t xml:space="preserve">PREMISSAS</t>
  </si>
  <si>
    <t xml:space="preserve">Regime</t>
  </si>
  <si>
    <t xml:space="preserve">Frequências do manual consideram 8 h/dia e 200 h/mês. Em 2 ou 3 turnos, siga o horímetro (aba Controle), não o calendário.</t>
  </si>
  <si>
    <t xml:space="preserve">Bateria</t>
  </si>
  <si>
    <t xml:space="preserve">Plano considera a bateria indicada pelo manual: chumbo-ácido ventilada 24 V – 216 Ah (não acompanha a máquina). Se usar bateria selada ou de lítio, as tarefas de eletrólito/densidade/equalização não se aplicam: siga o manual da bateria.</t>
  </si>
  <si>
    <t xml:space="preserve">Normas citadas</t>
  </si>
  <si>
    <t xml:space="preserve">NR-11 (transporte e movimentação de materiais), NR-12 (máquinas: manutenção por profissional capacitado, com bloqueio de energia e registro), NR-6 (EPI), NR-10 (somente para intervenção no lado de corrente alternada do carregador/tomada). ISO 3691 é citada pelo manual.</t>
  </si>
  <si>
    <t xml:space="preserve">INCONSISTÊNCIAS DO MANUAL (confirmar com a Assistência Autorizada)</t>
  </si>
  <si>
    <t xml:space="preserve">Folga do freio</t>
  </si>
  <si>
    <t xml:space="preserve">Tabelas 3, 4 e 5 dizem 0,2–0,8 mm; a Fig. 5 mostra 0,20–0,25 mm; o texto do item 9.6 manda ajustar se passar de 0,5 mm e fala em '0,2 mm e 03 mm' (erro de digitação). Adotado no plano: faixa-alvo 0,2–0,3 mm após ajuste; acima de 0,5 mm = ajustar; acima de 0,8 mm = bloquear a máquina.</t>
  </si>
  <si>
    <t xml:space="preserve">Óleo hidráulico</t>
  </si>
  <si>
    <t xml:space="preserve">Tabela 7 manda trocar a cada 1.200 h / 6 meses; Tabela 8 a cada 1.000 h. Adotado: 1.000 h ou 6 meses, o que vier primeiro.</t>
  </si>
  <si>
    <t xml:space="preserve">Caixa de redução</t>
  </si>
  <si>
    <t xml:space="preserve">Tabela 7 fala em troca de ÓLEO de engrenagem (85W-90 GL-5, item 9.9); Tabela 8 fala em troca de GRAXA a cada 1.000 h. Confirmar qual lubrificante vai na sua unidade antes da primeira troca.</t>
  </si>
  <si>
    <t xml:space="preserve">Motores</t>
  </si>
  <si>
    <t xml:space="preserve">A p. 3 descreve motor de tração AC (sem escovas), mas as Tabelas 5–8 mandam inspecionar escovas de carvão nos motores. Confirmar com a AT quais motores têm escovas (provavelmente o da bomba hidráulica).</t>
  </si>
  <si>
    <t xml:space="preserve">Regra 17 (p. 6)</t>
  </si>
  <si>
    <t xml:space="preserve">'Proibido operar com o garfo acima de 500 mm' — interpretado como: proibido DESLOCAR a máquina com o garfo elevado acima de 500 mm.</t>
  </si>
  <si>
    <t xml:space="preserve">'Interruptor de polimento'</t>
  </si>
  <si>
    <t xml:space="preserve">Tabela 5, item 15: provável erro de tradução (interruptor de fim de curso/limite). Confirmar.</t>
  </si>
  <si>
    <t xml:space="preserve">Substituto do óleo</t>
  </si>
  <si>
    <t xml:space="preserve">O manual aceita SAE 20W/20 no lugar do HLP68 'se for difícil comprar'. Não recomendado misturar óleos: use sempre HLP ISO VG 46 e só troque de tipo com o sistema drenado e com aval da AT.</t>
  </si>
  <si>
    <t xml:space="preserve">Lacunas</t>
  </si>
  <si>
    <t xml:space="preserve">O manual não cita inspeção de correntes de elevação nem dos garfos (trincas/desgaste), essenciais num mastro de 5,6 m. Foram incluídas como 'Boa prática' (referência: ISO 5057, inspeção de garfos).</t>
  </si>
  <si>
    <t xml:space="preserve">Parâmetros técnicos e limites de aceitação</t>
  </si>
  <si>
    <t xml:space="preserve">Valores do manual Vonder EEV 1500. Valores calculados estão em fórmula.</t>
  </si>
  <si>
    <t xml:space="preserve">Grupo</t>
  </si>
  <si>
    <t xml:space="preserve">Parâmetro</t>
  </si>
  <si>
    <t xml:space="preserve">Valor</t>
  </si>
  <si>
    <t xml:space="preserve">Unidade</t>
  </si>
  <si>
    <t xml:space="preserve">Fonte / observação</t>
  </si>
  <si>
    <t xml:space="preserve">Máquina</t>
  </si>
  <si>
    <t xml:space="preserve">Capacidade nominal (altura de elevação até 2.500 mm)</t>
  </si>
  <si>
    <t xml:space="preserve">kg</t>
  </si>
  <si>
    <t xml:space="preserve">Manual p. 3 e Tabela 2. Acima de 2.500 mm a capacidade cai: consultar Fig. 1 (diagrama elevação x carga).</t>
  </si>
  <si>
    <t xml:space="preserve">Centro de carga</t>
  </si>
  <si>
    <t xml:space="preserve">mm</t>
  </si>
  <si>
    <t xml:space="preserve">Tabela 2</t>
  </si>
  <si>
    <t xml:space="preserve">Elevação máxima (h3)</t>
  </si>
  <si>
    <t xml:space="preserve">Altura de segurança do mastro (acima dela, velocidade reduz para ~3 km/h)</t>
  </si>
  <si>
    <t xml:space="preserve">Item 5.2.3</t>
  </si>
  <si>
    <t xml:space="preserve">Massa sem bateria</t>
  </si>
  <si>
    <t xml:space="preserve">Tabela 2 — usar no içamento</t>
  </si>
  <si>
    <t xml:space="preserve">Largura mínima de corredor (Ast)</t>
  </si>
  <si>
    <t xml:space="preserve">Raio de giro (Wa)</t>
  </si>
  <si>
    <t xml:space="preserve">Ambiente</t>
  </si>
  <si>
    <t xml:space="preserve">Temperatura ambiente permitida (mín.)</t>
  </si>
  <si>
    <t xml:space="preserve">°C</t>
  </si>
  <si>
    <t xml:space="preserve">Manual p. 3</t>
  </si>
  <si>
    <t xml:space="preserve">Temperatura ambiente permitida (máx.)</t>
  </si>
  <si>
    <t xml:space="preserve">Manual p. 3; a 40 °C, umidade ≤ 50%</t>
  </si>
  <si>
    <t xml:space="preserve">Altitude máxima</t>
  </si>
  <si>
    <t xml:space="preserve">m</t>
  </si>
  <si>
    <t xml:space="preserve">Tensão nominal / capacidade</t>
  </si>
  <si>
    <t xml:space="preserve">24 V / 216 Ah</t>
  </si>
  <si>
    <t xml:space="preserve">Tabela 2 (chumbo-ácido, 12 células)</t>
  </si>
  <si>
    <t xml:space="preserve">Tensão mínima de operação (proibido operar abaixo)</t>
  </si>
  <si>
    <t xml:space="preserve">V</t>
  </si>
  <si>
    <t xml:space="preserve">Regra 15 (p. 5) e item 6.3 (1,7 V/célula)</t>
  </si>
  <si>
    <t xml:space="preserve">Densidade do eletrólito com carga completa (25 °C)</t>
  </si>
  <si>
    <t xml:space="preserve">g/ml</t>
  </si>
  <si>
    <t xml:space="preserve">± 0,005 — itens 6.2.6 e Tabela 4</t>
  </si>
  <si>
    <t xml:space="preserve">Densidade para interromper a descarga e recarregar</t>
  </si>
  <si>
    <t xml:space="preserve">Item 6.3.1</t>
  </si>
  <si>
    <t xml:space="preserve">Nível do eletrólito acima da placa protetora (mín.)</t>
  </si>
  <si>
    <t xml:space="preserve">Item 6.2.3 (faixa 15–25 mm)</t>
  </si>
  <si>
    <t xml:space="preserve">Nível do eletrólito acima da placa protetora (máx.)</t>
  </si>
  <si>
    <t xml:space="preserve">Item 6.2.3</t>
  </si>
  <si>
    <t xml:space="preserve">Temperatura máxima do eletrólito durante a carga</t>
  </si>
  <si>
    <t xml:space="preserve">Item 6.2.5 — acima disso, reduzir corrente 50% ou parar até 35 °C</t>
  </si>
  <si>
    <t xml:space="preserve">Tensão final de carga (fim do 2º estágio)</t>
  </si>
  <si>
    <t xml:space="preserve">Item 6.2.6 (2,6 V/célula)</t>
  </si>
  <si>
    <t xml:space="preserve">Duração aproximada da carga comum</t>
  </si>
  <si>
    <t xml:space="preserve">h</t>
  </si>
  <si>
    <t xml:space="preserve">Item 6.3.2 — carregar 130–140% do descarregado</t>
  </si>
  <si>
    <t xml:space="preserve">Correção de densidade por temperatura</t>
  </si>
  <si>
    <t xml:space="preserve">D25 = Dt + 0,0007 × (t − 25)</t>
  </si>
  <si>
    <t xml:space="preserve">Item 6.2.4 — t em °C, Dt = densidade lida</t>
  </si>
  <si>
    <t xml:space="preserve">Carregador</t>
  </si>
  <si>
    <t xml:space="preserve">Saída do carregador automático</t>
  </si>
  <si>
    <t xml:space="preserve">24 V / 30 A</t>
  </si>
  <si>
    <t xml:space="preserve">Item 6.9</t>
  </si>
  <si>
    <t xml:space="preserve">Freio</t>
  </si>
  <si>
    <t xml:space="preserve">Folga do freio — faixa-alvo após ajuste (mín.)</t>
  </si>
  <si>
    <t xml:space="preserve">Fig. 5 / item 9.6 (ver inconsistência no LEIA-ME)</t>
  </si>
  <si>
    <t xml:space="preserve">Folga do freio — faixa-alvo após ajuste (máx.)</t>
  </si>
  <si>
    <t xml:space="preserve">Adotado no plano</t>
  </si>
  <si>
    <t xml:space="preserve">Folga do freio — acima deste valor, AJUSTAR</t>
  </si>
  <si>
    <t xml:space="preserve">Item 9.6</t>
  </si>
  <si>
    <t xml:space="preserve">Folga do freio — acima deste valor, BLOQUEAR a máquina</t>
  </si>
  <si>
    <t xml:space="preserve">Tabelas 3, 4 e 5 (limite superior)</t>
  </si>
  <si>
    <t xml:space="preserve">Rodas</t>
  </si>
  <si>
    <t xml:space="preserve">Roda de direção/tração — diâmetro novo</t>
  </si>
  <si>
    <t xml:space="preserve">Tabela 2 (Ø 250 x 70)</t>
  </si>
  <si>
    <t xml:space="preserve">Roda de direção/tração — diâmetro mínimo (−5%)</t>
  </si>
  <si>
    <t xml:space="preserve">Tabela 3, item 8: substituir quando o diâmetro reduzir 5%</t>
  </si>
  <si>
    <t xml:space="preserve">Roda do garfo — diâmetro novo</t>
  </si>
  <si>
    <t xml:space="preserve">Tabela 2 (Ø 80 x 84)</t>
  </si>
  <si>
    <t xml:space="preserve">Roda do garfo — diâmetro mínimo (−5%)</t>
  </si>
  <si>
    <t xml:space="preserve">Tabela 3, item 8</t>
  </si>
  <si>
    <t xml:space="preserve">Hidráulico</t>
  </si>
  <si>
    <t xml:space="preserve">Volume de óleo hidráulico</t>
  </si>
  <si>
    <t xml:space="preserve">L</t>
  </si>
  <si>
    <t xml:space="preserve">Item 9.3</t>
  </si>
  <si>
    <t xml:space="preserve">Pressão da válvula de segurança (1.500 kg)</t>
  </si>
  <si>
    <t xml:space="preserve">MPa</t>
  </si>
  <si>
    <t xml:space="preserve">Item 12.1 — SOMENTE Assistência Autorizada ajusta</t>
  </si>
  <si>
    <t xml:space="preserve">Cabo</t>
  </si>
  <si>
    <t xml:space="preserve">Comprimento máximo do cabo da bateria externa (reboque)</t>
  </si>
  <si>
    <t xml:space="preserve">Item 4.1.2 — com bateria externa é proibido levantar carga</t>
  </si>
  <si>
    <t xml:space="preserve">Matriz de criticidade</t>
  </si>
  <si>
    <t xml:space="preserve">IC = (2×S + Q + D) × P   |   Classe A: S = 5 ou IC ≥ 60   |   Classe B: S = 4 ou IC ≥ 30   |   Classe C: demais. Notas em amarelo são editáveis.</t>
  </si>
  <si>
    <t xml:space="preserve">Escalas (1 a 5): S = gravidade para pessoas; Q = dano à carga/produto; D = impacto da parada; P = probabilidade de falha no seu uso.</t>
  </si>
  <si>
    <t xml:space="preserve">ID</t>
  </si>
  <si>
    <t xml:space="preserve">Componente / sistema</t>
  </si>
  <si>
    <t xml:space="preserve">Modo de falha principal</t>
  </si>
  <si>
    <t xml:space="preserve">Consequência</t>
  </si>
  <si>
    <t xml:space="preserve">S</t>
  </si>
  <si>
    <t xml:space="preserve">Q</t>
  </si>
  <si>
    <t xml:space="preserve">D</t>
  </si>
  <si>
    <t xml:space="preserve">P</t>
  </si>
  <si>
    <t xml:space="preserve">IC</t>
  </si>
  <si>
    <t xml:space="preserve">Classe</t>
  </si>
  <si>
    <t xml:space="preserve">Estratégia de manutenção</t>
  </si>
  <si>
    <t xml:space="preserve">C01</t>
  </si>
  <si>
    <t xml:space="preserve">Freio eletromagnético</t>
  </si>
  <si>
    <t xml:space="preserve">Desgaste das placas de fricção / folga fora da faixa / bobina aberta</t>
  </si>
  <si>
    <t xml:space="preserve">Máquina não para; atropelamento, colisão, queda de carga</t>
  </si>
  <si>
    <t xml:space="preserve">Teste funcional diário; medição semanal da folga; limpeza trimestral; ajuste só por N3</t>
  </si>
  <si>
    <t xml:space="preserve">C02</t>
  </si>
  <si>
    <t xml:space="preserve">Botão de reversão de emergência (timão)</t>
  </si>
  <si>
    <t xml:space="preserve">Botão travado ou sem resposta</t>
  </si>
  <si>
    <t xml:space="preserve">Operador prensado entre máquina e parede/obstáculo</t>
  </si>
  <si>
    <t xml:space="preserve">Teste funcional diário (pré-uso)</t>
  </si>
  <si>
    <t xml:space="preserve">C03</t>
  </si>
  <si>
    <t xml:space="preserve">Parada de emergência / plugue / chave geral</t>
  </si>
  <si>
    <t xml:space="preserve">Não corta a energia</t>
  </si>
  <si>
    <t xml:space="preserve">Impossível parar a máquina em perda de controle</t>
  </si>
  <si>
    <t xml:space="preserve">Teste funcional diário; inspeção mensal do plugue</t>
  </si>
  <si>
    <t xml:space="preserve">C04</t>
  </si>
  <si>
    <t xml:space="preserve">Sistema hidráulico (bomba, cilindro, tubos, válvulas)</t>
  </si>
  <si>
    <t xml:space="preserve">Vazamento, queda de pressão, válvula de descida travada</t>
  </si>
  <si>
    <t xml:space="preserve">Garfo desce sozinho ou não desce; queda de carga; piso escorregadio</t>
  </si>
  <si>
    <t xml:space="preserve">Inspeção visual diária; nível diário; troca de óleo 1.000 h/6 meses; tubo de alta 2.000 h</t>
  </si>
  <si>
    <t xml:space="preserve">C05</t>
  </si>
  <si>
    <t xml:space="preserve">Mastro, roletes, correntes e proteção do mastro</t>
  </si>
  <si>
    <t xml:space="preserve">Rolete danificado, corrente alongada/sem lubrificação, mastro deformado</t>
  </si>
  <si>
    <t xml:space="preserve">Travamento ou queda da carga em altura (até 5,6 m)</t>
  </si>
  <si>
    <t xml:space="preserve">Visual diário; mensal; inspeção anual completa (boa prática)</t>
  </si>
  <si>
    <t xml:space="preserve">C06</t>
  </si>
  <si>
    <t xml:space="preserve">Garfos</t>
  </si>
  <si>
    <t xml:space="preserve">Trinca no calcanhar, deformação, desgaste</t>
  </si>
  <si>
    <t xml:space="preserve">Ruptura do garfo com carga</t>
  </si>
  <si>
    <t xml:space="preserve">Visual diário; inspeção anual detalhada (boa prática, ISO 5057)</t>
  </si>
  <si>
    <t xml:space="preserve">C07</t>
  </si>
  <si>
    <t xml:space="preserve">Contator principal e controle de elevação</t>
  </si>
  <si>
    <t xml:space="preserve">Contatos soldados ou carbonizados</t>
  </si>
  <si>
    <t xml:space="preserve">Perda de controle: garfo continua subindo após soltar o botão (item 5.3.1)</t>
  </si>
  <si>
    <t xml:space="preserve">Inspeção semanal/mensal; polimento trimestral; substituir por condição (N3)</t>
  </si>
  <si>
    <t xml:space="preserve">C08</t>
  </si>
  <si>
    <t xml:space="preserve">Bateria de tração 24 V – 216 Ah</t>
  </si>
  <si>
    <t xml:space="preserve">Eletrólito baixo, densidade baixa, vazamento de ácido, sulfatação</t>
  </si>
  <si>
    <t xml:space="preserve">Queimadura química, explosão por hidrogênio, parada</t>
  </si>
  <si>
    <t xml:space="preserve">Carga diária correta; eletrólito e densidade semanais; equalização a cada 2–3 meses</t>
  </si>
  <si>
    <t xml:space="preserve">C09</t>
  </si>
  <si>
    <t xml:space="preserve">Carregador e conexão de carga</t>
  </si>
  <si>
    <t xml:space="preserve">Conector danificado, aquecimento, curva de carga errada</t>
  </si>
  <si>
    <t xml:space="preserve">Incêndio, sobrecarga ou subcarga da bateria</t>
  </si>
  <si>
    <t xml:space="preserve">Visual diário; mensal</t>
  </si>
  <si>
    <t xml:space="preserve">C10</t>
  </si>
  <si>
    <t xml:space="preserve">Timão, direção e interruptor de trava (posições A/B/C)</t>
  </si>
  <si>
    <t xml:space="preserve">Trava não atua fora do ângulo de 45° ± 35°, folga, rolamento preso</t>
  </si>
  <si>
    <t xml:space="preserve">Máquina se desloca quando deveria estar travada; direção presa</t>
  </si>
  <si>
    <t xml:space="preserve">Teste diário; inspeção semanal e mensal</t>
  </si>
  <si>
    <t xml:space="preserve">C11</t>
  </si>
  <si>
    <t xml:space="preserve">Chicotes, fusíveis e terminais</t>
  </si>
  <si>
    <t xml:space="preserve">Terminal frouxo/oxidado, isolação danificada</t>
  </si>
  <si>
    <t xml:space="preserve">Curto-circuito, incêndio, parada</t>
  </si>
  <si>
    <t xml:space="preserve">Inspeção mensal; limpeza só com ar comprimido</t>
  </si>
  <si>
    <t xml:space="preserve">C12</t>
  </si>
  <si>
    <t xml:space="preserve">Fixadores estruturais (pinos e parafusos)</t>
  </si>
  <si>
    <t xml:space="preserve">Afrouxamento</t>
  </si>
  <si>
    <t xml:space="preserve">Soltura de roda ou componente; acidente</t>
  </si>
  <si>
    <t xml:space="preserve">Verificação diária visual; reaperto semanal</t>
  </si>
  <si>
    <t xml:space="preserve">C13</t>
  </si>
  <si>
    <t xml:space="preserve">Rodas e rolamentos (tração e garfo)</t>
  </si>
  <si>
    <t xml:space="preserve">Desgaste &gt; 5% do diâmetro, rolamento danificado</t>
  </si>
  <si>
    <t xml:space="preserve">Instabilidade, tremor, dano ao piso e à carga</t>
  </si>
  <si>
    <t xml:space="preserve">Visual diário; medição mensal; substituição 1.200 h (Tabela 8)</t>
  </si>
  <si>
    <t xml:space="preserve">C14</t>
  </si>
  <si>
    <t xml:space="preserve">Motores (tração, bomba, direção)</t>
  </si>
  <si>
    <t xml:space="preserve">Escovas/rolamentos gastos, diodo/retificador com defeito</t>
  </si>
  <si>
    <t xml:space="preserve">Parada da máquina</t>
  </si>
  <si>
    <t xml:space="preserve">Inspeção mensal; trimestral/semestral por N3; rolamentos 1.000 h</t>
  </si>
  <si>
    <t xml:space="preserve">C15</t>
  </si>
  <si>
    <t xml:space="preserve">Lubrificante degradado, ruído</t>
  </si>
  <si>
    <t xml:space="preserve">Troca de lubrificante 1.000–1.200 h (confirmar tipo com AT)</t>
  </si>
  <si>
    <t xml:space="preserve">C16</t>
  </si>
  <si>
    <t xml:space="preserve">Controlador, painel e horímetro</t>
  </si>
  <si>
    <t xml:space="preserve">Código de falha, perda de parâmetros</t>
  </si>
  <si>
    <t xml:space="preserve">Teste diário do painel; registrar códigos; diagnóstico por N3</t>
  </si>
  <si>
    <t xml:space="preserve">C17</t>
  </si>
  <si>
    <t xml:space="preserve">Buzina</t>
  </si>
  <si>
    <t xml:space="preserve">Não soa</t>
  </si>
  <si>
    <t xml:space="preserve">Pedestres não percebem a máquina</t>
  </si>
  <si>
    <t xml:space="preserve">Teste diário</t>
  </si>
  <si>
    <t xml:space="preserve">C18</t>
  </si>
  <si>
    <t xml:space="preserve">Sinalização, adesivos e placa de capacidade</t>
  </si>
  <si>
    <t xml:space="preserve">Ilegível ou ausente</t>
  </si>
  <si>
    <t xml:space="preserve">Sobrecarga e operação indevida</t>
  </si>
  <si>
    <t xml:space="preserve">Visual diário; repor imediatamente</t>
  </si>
  <si>
    <t xml:space="preserve">Plano preventivo — atividades, frequência, executor e critério de aceitação</t>
  </si>
  <si>
    <t xml:space="preserve">Classe puxada da aba Criticidade. Vale o que vencer primeiro: horas (horímetro) ou calendário. Ref. = item/tabela do manual.</t>
  </si>
  <si>
    <t xml:space="preserve">Cód.</t>
  </si>
  <si>
    <t xml:space="preserve">Frequência</t>
  </si>
  <si>
    <t xml:space="preserve">Gatilho</t>
  </si>
  <si>
    <t xml:space="preserve">Comp.</t>
  </si>
  <si>
    <t xml:space="preserve">Sistema</t>
  </si>
  <si>
    <t xml:space="preserve">Atividade</t>
  </si>
  <si>
    <t xml:space="preserve">Como fazer / critério de aceitação</t>
  </si>
  <si>
    <t xml:space="preserve">Executor</t>
  </si>
  <si>
    <t xml:space="preserve">EPI</t>
  </si>
  <si>
    <t xml:space="preserve">Ferramentas e materiais</t>
  </si>
  <si>
    <t xml:space="preserve">Ref. manual</t>
  </si>
  <si>
    <t xml:space="preserve">D01</t>
  </si>
  <si>
    <t xml:space="preserve">Diário (pré-uso)</t>
  </si>
  <si>
    <t xml:space="preserve">Cada turno</t>
  </si>
  <si>
    <t xml:space="preserve">Nível de carga no indicador</t>
  </si>
  <si>
    <t xml:space="preserve">Ligar chave geral, destravar trava elétrica e ler o medidor. Se a barra da extremidade esquerda estiver acesa: NÃO operar, carregar já. Nunca operar abaixo de 20,4 V.</t>
  </si>
  <si>
    <t xml:space="preserve">N1</t>
  </si>
  <si>
    <t xml:space="preserve">Botina, roupa justa (sem peças soltas)</t>
  </si>
  <si>
    <t xml:space="preserve">—</t>
  </si>
  <si>
    <t xml:space="preserve">5.1.2 / Tab. 3-9</t>
  </si>
  <si>
    <t xml:space="preserve">D02</t>
  </si>
  <si>
    <t xml:space="preserve">Cabo e conector da bateria</t>
  </si>
  <si>
    <t xml:space="preserve">Conector encaixado e firme; cabo sem corte, trinca ou marca de aquecimento. Qualquer dano = bloquear.</t>
  </si>
  <si>
    <t xml:space="preserve">Tab. 3-11</t>
  </si>
  <si>
    <t xml:space="preserve">D03</t>
  </si>
  <si>
    <t xml:space="preserve">Vazamento de eletrólito (visual)</t>
  </si>
  <si>
    <t xml:space="preserve">Sem ácido derramado na caixa da bateria nem no piso. Não abrir tampas: só olhar. Vazamento = bloquear e chamar N2.</t>
  </si>
  <si>
    <t xml:space="preserve">Tab. 3-10 / 6.8</t>
  </si>
  <si>
    <t xml:space="preserve">D04</t>
  </si>
  <si>
    <t xml:space="preserve">Vazamentos de óleo</t>
  </si>
  <si>
    <t xml:space="preserve">Olhar o piso sob a máquina, tubos, mangueiras e cilindro de elevação. Qualquer gotejamento = bloquear.</t>
  </si>
  <si>
    <t xml:space="preserve">Lanterna</t>
  </si>
  <si>
    <t xml:space="preserve">5.1.1 / Tab. 3-4, 3-6</t>
  </si>
  <si>
    <t xml:space="preserve">D05</t>
  </si>
  <si>
    <t xml:space="preserve">Nível do óleo hidráulico</t>
  </si>
  <si>
    <t xml:space="preserve">Com o garfo na posição mais baixa, nível dentro da marca do reservatório. Abaixo = chamar N2 (não completar).</t>
  </si>
  <si>
    <t xml:space="preserve">9.3 / Tab. 3-5</t>
  </si>
  <si>
    <t xml:space="preserve">D06</t>
  </si>
  <si>
    <t xml:space="preserve">Teste funcional do freio</t>
  </si>
  <si>
    <t xml:space="preserve">Timão nas posições A e C: máquina freada e travada. Em velocidade baixa, soltar o timão: deve parar em curta distância, sem arrastar. Falhou = BLOQUEAR.</t>
  </si>
  <si>
    <t xml:space="preserve">5.1.3 / Tab. 3-1, 3-2</t>
  </si>
  <si>
    <t xml:space="preserve">D07</t>
  </si>
  <si>
    <t xml:space="preserve">Segurança</t>
  </si>
  <si>
    <t xml:space="preserve">Botão de reversão de emergência</t>
  </si>
  <si>
    <t xml:space="preserve">Em velocidade lenta, avançando em direção ao operador, pressionar o botão de reversão no topo do timão: máquina deve inverter e se afastar. Falhou = BLOQUEAR.</t>
  </si>
  <si>
    <t xml:space="preserve">5.1.3 / 5.3.3</t>
  </si>
  <si>
    <t xml:space="preserve">D08</t>
  </si>
  <si>
    <t xml:space="preserve">Parada de emergência</t>
  </si>
  <si>
    <t xml:space="preserve">Acionar o botão/plugue de emergência: toda a energia deve ser cortada. Rearmar e confirmar religamento.</t>
  </si>
  <si>
    <t xml:space="preserve">4.1.1 / Fig. 4</t>
  </si>
  <si>
    <t xml:space="preserve">D10</t>
  </si>
  <si>
    <t xml:space="preserve">Elevação</t>
  </si>
  <si>
    <t xml:space="preserve">Funções de elevação e descida</t>
  </si>
  <si>
    <t xml:space="preserve">Subir e descer o garfo sem carga até ~1 m: movimento suave, para ao soltar o botão, sem ruído anormal. Garfo que continua subindo = cortar energia (emergência) e BLOQUEAR.</t>
  </si>
  <si>
    <t xml:space="preserve">5.1.3 / 5.3.1 / Tab. 3-15</t>
  </si>
  <si>
    <t xml:space="preserve">D11</t>
  </si>
  <si>
    <t xml:space="preserve">Mastro</t>
  </si>
  <si>
    <t xml:space="preserve">Mastro, correntes e proteção do mastro</t>
  </si>
  <si>
    <t xml:space="preserve">Proteção do mastro montada e íntegra; correntes sem elo travado ou trinca; sem objetos presos. Proteção ausente = proibido operar.</t>
  </si>
  <si>
    <t xml:space="preserve">3.8 / Boa prática</t>
  </si>
  <si>
    <t xml:space="preserve">D12</t>
  </si>
  <si>
    <t xml:space="preserve">Sem trinca (principalmente na dobra/calcanhar), sem empeno, pontas alinhadas. Dúvida = bloquear e chamar N2.</t>
  </si>
  <si>
    <t xml:space="preserve">8.b / Boa prática</t>
  </si>
  <si>
    <t xml:space="preserve">D09</t>
  </si>
  <si>
    <t xml:space="preserve">Direção</t>
  </si>
  <si>
    <t xml:space="preserve">Timão e interruptor de trava</t>
  </si>
  <si>
    <t xml:space="preserve">Timão gira suave, volta sozinho para a vertical; só desloca na área B (45° ± 35°). Nas áreas A e C deve apenas subir/descer garfo. Ruído da trava presente ao passar de A para B.</t>
  </si>
  <si>
    <t xml:space="preserve">5.2.1 / Tab. 3-1, 3-3</t>
  </si>
  <si>
    <t xml:space="preserve">D13</t>
  </si>
  <si>
    <t xml:space="preserve">Estrutura</t>
  </si>
  <si>
    <t xml:space="preserve">Fixadores visíveis</t>
  </si>
  <si>
    <t xml:space="preserve">Nenhum pino ou parafuso faltando ou solto nas rodas e no chassi.</t>
  </si>
  <si>
    <t xml:space="preserve">Tab. 3-7</t>
  </si>
  <si>
    <t xml:space="preserve">D14</t>
  </si>
  <si>
    <t xml:space="preserve">Sem pedaços faltando, sem fita/arame enrolado, sem achatamento visível. Máquina parada muito tempo pode ter roda marcada: some após rodar um pouco (item 4.1.6).</t>
  </si>
  <si>
    <t xml:space="preserve">Tab. 3-8</t>
  </si>
  <si>
    <t xml:space="preserve">D17</t>
  </si>
  <si>
    <t xml:space="preserve">Adesivos e placa de capacidade</t>
  </si>
  <si>
    <t xml:space="preserve">Legíveis e no lugar (capacidade, advertências, pontos de içamento).</t>
  </si>
  <si>
    <t xml:space="preserve">8.a</t>
  </si>
  <si>
    <t xml:space="preserve">D15</t>
  </si>
  <si>
    <t xml:space="preserve">Painel</t>
  </si>
  <si>
    <t xml:space="preserve">Painel e chave</t>
  </si>
  <si>
    <t xml:space="preserve">Ligar a trava elétrica: painel acende e mostra estado normal, sem código de falha. Anotar qualquer código no checklist.</t>
  </si>
  <si>
    <t xml:space="preserve">Tab. 3-13, 3-14</t>
  </si>
  <si>
    <t xml:space="preserve">D16</t>
  </si>
  <si>
    <t xml:space="preserve">Pressionar: deve soar alto e claro.</t>
  </si>
  <si>
    <t xml:space="preserve">Tab. 3-12</t>
  </si>
  <si>
    <t xml:space="preserve">P01</t>
  </si>
  <si>
    <t xml:space="preserve">Diário (pós-uso)</t>
  </si>
  <si>
    <t xml:space="preserve">Fim do turno</t>
  </si>
  <si>
    <t xml:space="preserve">Carga da bateria</t>
  </si>
  <si>
    <t xml:space="preserve">Estacionar em área ventilada, sem chamas, sem fumar. Conectar o carregador (24 V / 30 A). Não interromper a carga comum (~12 h). Não deixar a bateria descarregada parada. Nunca carregar ligando o plugue direto na rede CA.</t>
  </si>
  <si>
    <t xml:space="preserve">Óculos de ampla visão ou protetor facial, luva nitrílica/PVC, avental de PVC, botina</t>
  </si>
  <si>
    <t xml:space="preserve">Carregador 24 V / 30 A</t>
  </si>
  <si>
    <t xml:space="preserve">6.1 / 6.3 / Regra 16</t>
  </si>
  <si>
    <t xml:space="preserve">P02</t>
  </si>
  <si>
    <t xml:space="preserve">Geral</t>
  </si>
  <si>
    <t xml:space="preserve">Estacionamento seguro</t>
  </si>
  <si>
    <t xml:space="preserve">Local plano e designado (nunca em rampa), garfo na posição mais baixa, timão na posição intermediária, chave desligada e retirada.</t>
  </si>
  <si>
    <t xml:space="preserve">3.1.1</t>
  </si>
  <si>
    <t xml:space="preserve">P03</t>
  </si>
  <si>
    <t xml:space="preserve">Limpeza a seco</t>
  </si>
  <si>
    <t xml:space="preserve">Remover manchas e sujeira com pano seco. Parte elétrica só com ar comprimido. NUNCA usar água.</t>
  </si>
  <si>
    <t xml:space="preserve">Pano, ar comprimido</t>
  </si>
  <si>
    <t xml:space="preserve">3.1.2 / 8</t>
  </si>
  <si>
    <t xml:space="preserve">P04</t>
  </si>
  <si>
    <t xml:space="preserve">Registro de anomalias</t>
  </si>
  <si>
    <t xml:space="preserve">Anotar no checklist qualquer deformação, trinca, ruído, vazamento ou código de falha e avisar o líder.</t>
  </si>
  <si>
    <t xml:space="preserve">Checklist diário</t>
  </si>
  <si>
    <t xml:space="preserve">8.b</t>
  </si>
  <si>
    <t xml:space="preserve">S01</t>
  </si>
  <si>
    <t xml:space="preserve">Semanal</t>
  </si>
  <si>
    <t xml:space="preserve">50 h / 7 dias</t>
  </si>
  <si>
    <t xml:space="preserve">Medição da folga do freio</t>
  </si>
  <si>
    <t xml:space="preserve">Máquina bloqueada (ver LOTO). Medir com calibrador de lâminas a folga entre placa do freio e aço magnético em 3 pontos. 0,2–0,5 mm = OK; &gt;0,5 mm = solicitar ajuste N3; &gt;0,8 mm = BLOQUEAR.</t>
  </si>
  <si>
    <t xml:space="preserve">N2 (N3 na garantia)</t>
  </si>
  <si>
    <t xml:space="preserve">Óculos, luva de vaqueta ou nitrílica, botina</t>
  </si>
  <si>
    <t xml:space="preserve">Calibrador de lâminas 0,05–1,00 mm</t>
  </si>
  <si>
    <t xml:space="preserve">Tab. 4-3 / 9.6</t>
  </si>
  <si>
    <t xml:space="preserve">S02</t>
  </si>
  <si>
    <t xml:space="preserve">Limpeza da engrenagem de giro</t>
  </si>
  <si>
    <t xml:space="preserve">Remover sujeira e óleo acumulados na engrenagem de giro do freio/direção com pincel e pano.</t>
  </si>
  <si>
    <t xml:space="preserve">N2</t>
  </si>
  <si>
    <t xml:space="preserve">Pincel, pano, desengraxante não corrosivo</t>
  </si>
  <si>
    <t xml:space="preserve">Tab. 4-2</t>
  </si>
  <si>
    <t xml:space="preserve">S04</t>
  </si>
  <si>
    <t xml:space="preserve">Nível do eletrólito</t>
  </si>
  <si>
    <t xml:space="preserve">Após a carga completa, abrir as tampas e conferir: líquido 15–25 mm acima da placa protetora. Se baixo, completar SÓ com água destilada, com funil plástico. Nunca completar com ácido.</t>
  </si>
  <si>
    <t xml:space="preserve">Funil plástico, água destilada, lanterna</t>
  </si>
  <si>
    <t xml:space="preserve">Tab. 4-4 / 6.2.3</t>
  </si>
  <si>
    <t xml:space="preserve">S05</t>
  </si>
  <si>
    <t xml:space="preserve">Densidade do eletrólito</t>
  </si>
  <si>
    <t xml:space="preserve">Após a carga, medir em todas as 12 células com densímetro. Corrigir: D25 = Dt + 0,0007 × (t − 25). Esperado 1,280 ± 0,005. Célula com diferença grande = bateria 'atrasada': programar equalização.</t>
  </si>
  <si>
    <t xml:space="preserve">Densímetro de aspiração com termômetro</t>
  </si>
  <si>
    <t xml:space="preserve">Tab. 4-5 / 6.2.4</t>
  </si>
  <si>
    <t xml:space="preserve">S06</t>
  </si>
  <si>
    <t xml:space="preserve">Limpeza da bateria</t>
  </si>
  <si>
    <t xml:space="preserve">Tampas fechadas. Limpar topo e terminais com pano umedecido em solução de bicarbonato de sódio e secar. Nenhum objeto metálico sobre a bateria.</t>
  </si>
  <si>
    <t xml:space="preserve">Pano, bicarbonato de sódio, escova não metálica</t>
  </si>
  <si>
    <t xml:space="preserve">Tab. 4-6 / 6.5.b</t>
  </si>
  <si>
    <t xml:space="preserve">S07</t>
  </si>
  <si>
    <t xml:space="preserve">Elétrico</t>
  </si>
  <si>
    <t xml:space="preserve">Inspeção do contator</t>
  </si>
  <si>
    <t xml:space="preserve">Máquina bloqueada e capacitores descarregados. Inspecionar visualmente: sem marcas de arco, terminais firmes, acionamento sem travar.</t>
  </si>
  <si>
    <t xml:space="preserve">Lanterna, multímetro CAT III</t>
  </si>
  <si>
    <t xml:space="preserve">Tab. 4-7</t>
  </si>
  <si>
    <t xml:space="preserve">S03</t>
  </si>
  <si>
    <t xml:space="preserve">Ruído da trava A/B</t>
  </si>
  <si>
    <t xml:space="preserve">Girar o timão alternando entre as áreas A e B: deve haver o ruído característico da trava em ambos os sentidos.</t>
  </si>
  <si>
    <t xml:space="preserve">Tab. 4-1</t>
  </si>
  <si>
    <t xml:space="preserve">S08</t>
  </si>
  <si>
    <t xml:space="preserve">Reaperto de fixadores</t>
  </si>
  <si>
    <t xml:space="preserve">Conferir e reapertar parafusos e pinos acessíveis (rodas, timão, proteções). Sem torque especificado no manual: apertar firme, sem forçar.</t>
  </si>
  <si>
    <t xml:space="preserve">Jogo de chaves combinadas e soquetes</t>
  </si>
  <si>
    <t xml:space="preserve">9.4.b</t>
  </si>
  <si>
    <t xml:space="preserve">S09</t>
  </si>
  <si>
    <t xml:space="preserve">Estado das rodas</t>
  </si>
  <si>
    <t xml:space="preserve">Inspecionar desgaste, trincas e corpos estranhos; limpar.</t>
  </si>
  <si>
    <t xml:space="preserve">Paquímetro</t>
  </si>
  <si>
    <t xml:space="preserve">9.4.c</t>
  </si>
  <si>
    <t xml:space="preserve">M01</t>
  </si>
  <si>
    <t xml:space="preserve">Mensal</t>
  </si>
  <si>
    <t xml:space="preserve">200 h / 30 dias</t>
  </si>
  <si>
    <t xml:space="preserve">Folga do freio e teste de frenagem</t>
  </si>
  <si>
    <t xml:space="preserve">Mesma medição de S01, registrar valor na OS para acompanhar a tendência de desgaste.</t>
  </si>
  <si>
    <t xml:space="preserve">Calibrador de lâminas</t>
  </si>
  <si>
    <t xml:space="preserve">Tab. 5-4</t>
  </si>
  <si>
    <t xml:space="preserve">M02</t>
  </si>
  <si>
    <t xml:space="preserve">Contator, chave, plugue, controlador, fim de curso</t>
  </si>
  <si>
    <t xml:space="preserve">Testar função de cada um. Contator: desempenho e contato. Plugue: sem dano. Registrar códigos do controlador.</t>
  </si>
  <si>
    <t xml:space="preserve">Multímetro CAT III</t>
  </si>
  <si>
    <t xml:space="preserve">Tab. 5-12 a 5-16</t>
  </si>
  <si>
    <t xml:space="preserve">M03</t>
  </si>
  <si>
    <t xml:space="preserve">Tubos, cilindro e nível de óleo</t>
  </si>
  <si>
    <t xml:space="preserve">Sem vazamento em tubos e cilindro; nível correto com garfo abaixado. Completar só com HLP ISO VG 46 limpo.</t>
  </si>
  <si>
    <t xml:space="preserve">Óleo HLP 46, funil limpo</t>
  </si>
  <si>
    <t xml:space="preserve">Tab. 5-8 a 5-10</t>
  </si>
  <si>
    <t xml:space="preserve">M04</t>
  </si>
  <si>
    <t xml:space="preserve">Mastro, roletes e correntes</t>
  </si>
  <si>
    <t xml:space="preserve">Garfo abaixado e calçado. Roletes girando livres, sem folga; correntes lubrificadas, sem elo duro, trinca ou alongamento visível; mastro sem deformação.</t>
  </si>
  <si>
    <t xml:space="preserve">Lanterna, lubrificante para correntes</t>
  </si>
  <si>
    <t xml:space="preserve">Boa prática</t>
  </si>
  <si>
    <t xml:space="preserve">M09</t>
  </si>
  <si>
    <t xml:space="preserve">Eletrólito completo</t>
  </si>
  <si>
    <t xml:space="preserve">Nível, densidade e limpeza conforme S04–S06; registrar densidade de cada célula.</t>
  </si>
  <si>
    <t xml:space="preserve">Densímetro, água destilada</t>
  </si>
  <si>
    <t xml:space="preserve">Tab. 5-11</t>
  </si>
  <si>
    <t xml:space="preserve">M05</t>
  </si>
  <si>
    <t xml:space="preserve">Timão: estanqueidade, giro e trava</t>
  </si>
  <si>
    <t xml:space="preserve">Giro suave, sem folga; ruído da trava presente; quadro e prendedores sem trinca e apertados.</t>
  </si>
  <si>
    <t xml:space="preserve">Jogo de chaves</t>
  </si>
  <si>
    <t xml:space="preserve">Tab. 5-3, 5-5, 5-6</t>
  </si>
  <si>
    <t xml:space="preserve">M06</t>
  </si>
  <si>
    <t xml:space="preserve">Haste de ligação e transportador de roda</t>
  </si>
  <si>
    <t xml:space="preserve">Sem trinca, flexão ou deformação; lubrificar pontos de graxa com graxa de lítio NLGI 3. Medir diâmetro das rodas (limites na aba Parâmetros).</t>
  </si>
  <si>
    <t xml:space="preserve">Pistola de graxa, graxa lítio NLGI 3, paquímetro</t>
  </si>
  <si>
    <t xml:space="preserve">Tab. 5-7</t>
  </si>
  <si>
    <t xml:space="preserve">M07</t>
  </si>
  <si>
    <t xml:space="preserve">Fusíveis, cablagem e terminais</t>
  </si>
  <si>
    <t xml:space="preserve">Bloqueado e capacitores descarregados. Fusíveis íntegros; cabos flexíveis, sem ressecamento ou corte; terminais firmes e sem oxidação.</t>
  </si>
  <si>
    <t xml:space="preserve">Multímetro CAT III, spray limpa-contatos</t>
  </si>
  <si>
    <t xml:space="preserve">Tab. 5-20, 5-21</t>
  </si>
  <si>
    <t xml:space="preserve">M08</t>
  </si>
  <si>
    <t xml:space="preserve">Escovas e diodos dos motores</t>
  </si>
  <si>
    <t xml:space="preserve">Verificar desgaste das escovas e estado dos diodos nos motores de tração, elevação e direção.</t>
  </si>
  <si>
    <t xml:space="preserve">N3</t>
  </si>
  <si>
    <t xml:space="preserve">Multímetro, ferramental da AT</t>
  </si>
  <si>
    <t xml:space="preserve">Tab. 5-17 a 5-19</t>
  </si>
  <si>
    <t xml:space="preserve">M10</t>
  </si>
  <si>
    <t xml:space="preserve">Carregador e tomada</t>
  </si>
  <si>
    <t xml:space="preserve">Conector sem trinca nem aquecimento; cabo íntegro; área de carga ventilada, sinalizada, com extintor e sem material combustível.</t>
  </si>
  <si>
    <t xml:space="preserve">2.1.4.c / 6.1</t>
  </si>
  <si>
    <t xml:space="preserve">B01</t>
  </si>
  <si>
    <t xml:space="preserve">Equalização</t>
  </si>
  <si>
    <t xml:space="preserve">A cada 2–3 meses</t>
  </si>
  <si>
    <t xml:space="preserve">Carga equalizadora</t>
  </si>
  <si>
    <t xml:space="preserve">Carregar a 4 A; ao atingir 31,2 V com bolhas, reduzir para 2 A. Com carga total: pausa 30 min, carregar 1 A por 1 h; repetir até borbulhar forte assim que o carregador liga. Área ventilada, sem chamas.</t>
  </si>
  <si>
    <t xml:space="preserve">Carregador ajustável, multímetro, densímetro</t>
  </si>
  <si>
    <t xml:space="preserve">6.3.3 / 6.4</t>
  </si>
  <si>
    <t xml:space="preserve">T01</t>
  </si>
  <si>
    <t xml:space="preserve">Trimestral</t>
  </si>
  <si>
    <t xml:space="preserve">600 h / 3 meses</t>
  </si>
  <si>
    <t xml:space="preserve">Polimento dos contatos do contator</t>
  </si>
  <si>
    <t xml:space="preserve">Polir a superfície dos contatos com lixa fina; substituir se não funcionar bem.</t>
  </si>
  <si>
    <t xml:space="preserve">Lixa fina, multímetro</t>
  </si>
  <si>
    <t xml:space="preserve">Tab. 6</t>
  </si>
  <si>
    <t xml:space="preserve">T02</t>
  </si>
  <si>
    <t xml:space="preserve">Limpeza e desgaste das placas de fricção</t>
  </si>
  <si>
    <t xml:space="preserve">Limpar poeira das placas de fricção; verificar desgaste; ajustar folga para 0,2–0,3 mm com os 3 parafusos uniformemente; testar com 24 V CC (deve emitir som claro).</t>
  </si>
  <si>
    <t xml:space="preserve">Calibrador de lâminas, ferramental AT</t>
  </si>
  <si>
    <t xml:space="preserve">Tab. 6 / 9.6</t>
  </si>
  <si>
    <t xml:space="preserve">T03</t>
  </si>
  <si>
    <t xml:space="preserve">Escovas de carvão e retificador</t>
  </si>
  <si>
    <t xml:space="preserve">Verificar escovas e retificador de selênio; substituir se necessário.</t>
  </si>
  <si>
    <t xml:space="preserve">Ferramental AT</t>
  </si>
  <si>
    <t xml:space="preserve">K01</t>
  </si>
  <si>
    <t xml:space="preserve">Semestral / 1.000 h</t>
  </si>
  <si>
    <t xml:space="preserve">1.000 h ou 6 meses</t>
  </si>
  <si>
    <t xml:space="preserve">Troca do óleo hidráulico + limpeza do filtro</t>
  </si>
  <si>
    <t xml:space="preserve">Garfo totalmente abaixado (sistema despressurizado). Drenar, limpar filtro do reservatório e abastecer 12 L de HLP ISO VG 46 (DIN 51524-2). Óleo usado: descarte como resíduo perigoso.</t>
  </si>
  <si>
    <t xml:space="preserve">HLP ISO VG 46 (12 L), bandeja de coleta</t>
  </si>
  <si>
    <t xml:space="preserve">Tab. 7 / Tab. 8 / 9.9</t>
  </si>
  <si>
    <t xml:space="preserve">K05</t>
  </si>
  <si>
    <t xml:space="preserve">1.200 h ou 6 meses</t>
  </si>
  <si>
    <t xml:space="preserve">Vedações do cilindro</t>
  </si>
  <si>
    <t xml:space="preserve">Verificar vazamento no cilindro de içamento; substituir vedações se houver dano.</t>
  </si>
  <si>
    <t xml:space="preserve">Kit de vedações original</t>
  </si>
  <si>
    <t xml:space="preserve">Tab. 7 / Tab. 8</t>
  </si>
  <si>
    <t xml:space="preserve">K06</t>
  </si>
  <si>
    <t xml:space="preserve">Contator, motor e freio (revisão semestral)</t>
  </si>
  <si>
    <t xml:space="preserve">Repetir T01, T02 e T03.</t>
  </si>
  <si>
    <t xml:space="preserve">Tab. 7</t>
  </si>
  <si>
    <t xml:space="preserve">K03</t>
  </si>
  <si>
    <t xml:space="preserve">Rolamentos e escovas dos motores</t>
  </si>
  <si>
    <t xml:space="preserve">Motor de tração: rolamentos; motores de direção e bomba: escovas e rolamentos.</t>
  </si>
  <si>
    <t xml:space="preserve">Tab. 8</t>
  </si>
  <si>
    <t xml:space="preserve">K04</t>
  </si>
  <si>
    <t xml:space="preserve">Rodas e rolamentos do garfo</t>
  </si>
  <si>
    <t xml:space="preserve">Substituir conforme Tabela 8 (ou antes, se diâmetro &lt; limite). Verificar desgaste da roda de tração.</t>
  </si>
  <si>
    <t xml:space="preserve">Rodas e rolamentos originais</t>
  </si>
  <si>
    <t xml:space="preserve">K02</t>
  </si>
  <si>
    <t xml:space="preserve">Transmissão</t>
  </si>
  <si>
    <t xml:space="preserve">Lubrificante da caixa de redução</t>
  </si>
  <si>
    <t xml:space="preserve">Trocar o lubrificante da caixa de redução (óleo 85W-90 GL-5 ou graxa, conforme confirmação da AT).</t>
  </si>
  <si>
    <t xml:space="preserve">Óleo 85W-90 GL-5</t>
  </si>
  <si>
    <t xml:space="preserve">K07</t>
  </si>
  <si>
    <t xml:space="preserve">2.000 h</t>
  </si>
  <si>
    <t xml:space="preserve">Tubo de óleo de alta pressão</t>
  </si>
  <si>
    <t xml:space="preserve">Substituir (ou antes, se houver dano).</t>
  </si>
  <si>
    <t xml:space="preserve">Tubo original</t>
  </si>
  <si>
    <t xml:space="preserve">A01</t>
  </si>
  <si>
    <t xml:space="preserve">Anual</t>
  </si>
  <si>
    <t xml:space="preserve">12 meses / 2.400 h</t>
  </si>
  <si>
    <t xml:space="preserve">Inspeção detalhada dos garfos</t>
  </si>
  <si>
    <t xml:space="preserve">Por pessoa qualificada: trincas (líquido penetrante no calcanhar), espessura, ângulo e alinhamento das pontas. Garfo com dano = substituir, nunca soldar.</t>
  </si>
  <si>
    <t xml:space="preserve">Paquímetro, esquadro, líquido penetrante</t>
  </si>
  <si>
    <t xml:space="preserve">Boa prática (ISO 5057)</t>
  </si>
  <si>
    <t xml:space="preserve">A02</t>
  </si>
  <si>
    <t xml:space="preserve">Correntes e mastro completo</t>
  </si>
  <si>
    <t xml:space="preserve">Medir alongamento das correntes, verificar pinos, ancoragens e roletes; lubrificar.</t>
  </si>
  <si>
    <t xml:space="preserve">Régua/gabarito de corrente</t>
  </si>
  <si>
    <t xml:space="preserve">A03</t>
  </si>
  <si>
    <t xml:space="preserve">Pressão da válvula de segurança</t>
  </si>
  <si>
    <t xml:space="preserve">Somente AT: medir com manômetro ≥ 20 MPa. Esperado 16 MPa (1.500 kg). Usuário nunca ajusta.</t>
  </si>
  <si>
    <t xml:space="preserve">Manômetro ≥ 20 MPa</t>
  </si>
  <si>
    <t xml:space="preserve">12.1</t>
  </si>
  <si>
    <t xml:space="preserve">A04</t>
  </si>
  <si>
    <t xml:space="preserve">Avaliação da bateria</t>
  </si>
  <si>
    <t xml:space="preserve">Densidade de todas as células após carga completa e equalização; histórico de quedas de autonomia. Bateria tem vida útil limitada: planejar substituição.</t>
  </si>
  <si>
    <t xml:space="preserve">Densímetro, multímetro</t>
  </si>
  <si>
    <t xml:space="preserve">6.7 / Boa prática</t>
  </si>
  <si>
    <t xml:space="preserve">Controle de vencimento das preventivas</t>
  </si>
  <si>
    <t xml:space="preserve">Edite só as células amarelas. Valores de exemplo em azul: substitua pelos reais. Vence pelo que ocorrer primeiro (horas ou dias).</t>
  </si>
  <si>
    <t xml:space="preserve">Horímetro atual (h)</t>
  </si>
  <si>
    <t xml:space="preserve">Data de hoje</t>
  </si>
  <si>
    <t xml:space="preserve">Nível</t>
  </si>
  <si>
    <t xml:space="preserve">Intervalo (h)</t>
  </si>
  <si>
    <t xml:space="preserve">Intervalo (dias)</t>
  </si>
  <si>
    <t xml:space="preserve">Último horímetro</t>
  </si>
  <si>
    <t xml:space="preserve">Última data</t>
  </si>
  <si>
    <t xml:space="preserve">Próximo horímetro</t>
  </si>
  <si>
    <t xml:space="preserve">Próxima data</t>
  </si>
  <si>
    <t xml:space="preserve">Faltam (h)</t>
  </si>
  <si>
    <t xml:space="preserve">Faltam (dias)</t>
  </si>
  <si>
    <t xml:space="preserve">Status</t>
  </si>
  <si>
    <t xml:space="preserve">Semanal (50 h)</t>
  </si>
  <si>
    <t xml:space="preserve">Mensal (200 h)</t>
  </si>
  <si>
    <t xml:space="preserve">N2 + N3</t>
  </si>
  <si>
    <t xml:space="preserve">Equalização da bateria</t>
  </si>
  <si>
    <t xml:space="preserve">Trimestral (600 h)</t>
  </si>
  <si>
    <t xml:space="preserve">Semestral / consumíveis (1.000 h)</t>
  </si>
  <si>
    <t xml:space="preserve">Tubo de alta pressão (2.000 h)</t>
  </si>
  <si>
    <t xml:space="preserve">Anual (boa prática)</t>
  </si>
  <si>
    <t xml:space="preserve">Regra: 'PROGRAMAR' aparece quando faltam ≤ 10% das horas ou ≤ 7 dias. Equalização: manual pede a cada 2–3 meses (75 dias adotado). Após executar, atualize 'Último horímetro' e 'Última data'.</t>
  </si>
  <si>
    <t xml:space="preserve">Cronograma anual por calendário (referência para 1 turno de 8 h/dia)</t>
  </si>
  <si>
    <t xml:space="preserve">Informe a segunda-feira da semana 1 na célula amarela. Em mais de 1 turno, vale a aba Controle Horímetro.</t>
  </si>
  <si>
    <t xml:space="preserve">Início (segunda-feira da semana 1):</t>
  </si>
  <si>
    <t xml:space="preserve">A cada (sem.)</t>
  </si>
  <si>
    <t xml:space="preserve">Data início da semana</t>
  </si>
  <si>
    <t xml:space="preserve">Diário pré/pós-uso (N1)</t>
  </si>
  <si>
    <t xml:space="preserve">Semanal (N2)</t>
  </si>
  <si>
    <t xml:space="preserve">Mensal (N2/N3)</t>
  </si>
  <si>
    <t xml:space="preserve">Equalização bateria (N2)</t>
  </si>
  <si>
    <t xml:space="preserve">Trimestral (N3)</t>
  </si>
  <si>
    <t xml:space="preserve">Semestral / 1.000 h (N3)</t>
  </si>
  <si>
    <t xml:space="preserve">Anual – boa prática (N3)</t>
  </si>
  <si>
    <t xml:space="preserve">Checklist diário do operador — Empilhadeira EEV 1500</t>
  </si>
  <si>
    <t xml:space="preserve">Marque C (conforme), NC (não conforme) ou NA. Qualquer NC em item ★ = NÃO OPERE: coloque a etiqueta e avise o líder.</t>
  </si>
  <si>
    <t xml:space="preserve">Semana de:</t>
  </si>
  <si>
    <t xml:space="preserve">Nº de série:</t>
  </si>
  <si>
    <t xml:space="preserve">Setor:</t>
  </si>
  <si>
    <t xml:space="preserve">Item</t>
  </si>
  <si>
    <t xml:space="preserve">★</t>
  </si>
  <si>
    <t xml:space="preserve">Verificar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</si>
  <si>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</si>
  <si>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</si>
  <si>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</si>
  <si>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</si>
  <si>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</si>
  <si>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</si>
  <si>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</si>
  <si>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Nível de carga no indicador: Ligar chave geral, destravar trava elétrica e ler o medidor.</t>
  </si>
  <si>
    <t xml:space="preserve">Cabo e conector da bateria: Conector encaixado e firme; cabo sem corte, trinca ou marca de aquecimento.</t>
  </si>
  <si>
    <t xml:space="preserve">Vazamento de eletrólito (visual): Sem ácido derramado na caixa da bateria nem no piso.</t>
  </si>
  <si>
    <t xml:space="preserve">Vazamentos de óleo: Olhar o piso sob a máquina, tubos, mangueiras e cilindro de elevação.</t>
  </si>
  <si>
    <t xml:space="preserve">Nível do óleo hidráulico: Com o garfo na posição mais baixa, nível dentro da marca do reservatório.</t>
  </si>
  <si>
    <t xml:space="preserve">Teste funcional do freio: Timão nas posições A e C: máquina freada e travada.</t>
  </si>
  <si>
    <t xml:space="preserve">Botão de reversão de emergência: Em velocidade lenta, avançando em direção ao operador, pressionar o botão de reversão no topo do timão: máquina deve inverter e se afastar.</t>
  </si>
  <si>
    <t xml:space="preserve">Parada de emergência: Acionar o botão/plugue de emergência: toda a energia deve ser cortada.</t>
  </si>
  <si>
    <t xml:space="preserve">Funções de elevação e descida: Subir e descer o garfo sem carga até ~1 m: movimento suave, para ao soltar o botão, sem ruído anormal.</t>
  </si>
  <si>
    <t xml:space="preserve">Mastro, correntes e proteção do mastro: Proteção do mastro montada e íntegra; correntes sem elo travado ou trinca; sem objetos presos.</t>
  </si>
  <si>
    <t xml:space="preserve">Garfos: Sem trinca (principalmente na dobra/calcanhar), sem empeno, pontas alinhadas.</t>
  </si>
  <si>
    <t xml:space="preserve">Timão e interruptor de trava: Timão gira suave, volta sozinho para a vertical; só desloca na área B (45° ± 35°).</t>
  </si>
  <si>
    <t xml:space="preserve">Fixadores visíveis: Nenhum pino ou parafuso faltando ou solto nas rodas e no chassi.</t>
  </si>
  <si>
    <t xml:space="preserve">Rodas: Sem pedaços faltando, sem fita/arame enrolado, sem achatamento visível.</t>
  </si>
  <si>
    <t xml:space="preserve">Adesivos e placa de capacidade: Legíveis e no lugar (capacidade, advertências, pontos de içamento).</t>
  </si>
  <si>
    <t xml:space="preserve">Painel e chave: Ligar a trava elétrica: painel acende e mostra estado normal, sem código de falha.</t>
  </si>
  <si>
    <t xml:space="preserve">Buzina: Pressionar: deve soar alto e claro.</t>
  </si>
  <si>
    <t xml:space="preserve">Horímetro no início</t>
  </si>
  <si>
    <t xml:space="preserve">Carga da bateria no início (%)</t>
  </si>
  <si>
    <t xml:space="preserve">Código de falha no painel (anotar)</t>
  </si>
  <si>
    <t xml:space="preserve">Operador (nome e assinatura)</t>
  </si>
  <si>
    <t xml:space="preserve">Líder: visto</t>
  </si>
  <si>
    <t xml:space="preserve">Exemplo de preenchimento: D06 Seg = C; D10 Ter = NC → máquina bloqueada, etiqueta 'NÃO OPERE', OS aberta. Pós-uso: estacionar plano, garfo no chão, chave retirada, colocar para carregar em área ventilada.</t>
  </si>
  <si>
    <t xml:space="preserve">Ordem de Serviço — Manutenção Preventiva</t>
  </si>
  <si>
    <t xml:space="preserve">Uma OS por intervenção. Arquivar por 5 anos (sugestão) como prova de manutenção para garantia e NR-12.</t>
  </si>
  <si>
    <t xml:space="preserve">Nº OS:</t>
  </si>
  <si>
    <t xml:space="preserve">Data:</t>
  </si>
  <si>
    <t xml:space="preserve">Horímetro:</t>
  </si>
  <si>
    <t xml:space="preserve">Nível (Semanal/Mensal/...):</t>
  </si>
  <si>
    <t xml:space="preserve">Executor:</t>
  </si>
  <si>
    <t xml:space="preserve">Habilitação (N1/N2/N3):</t>
  </si>
  <si>
    <t xml:space="preserve">Hora início:</t>
  </si>
  <si>
    <t xml:space="preserve">Hora fim:</t>
  </si>
  <si>
    <t xml:space="preserve">Máquina bloqueada (LOTO) por:</t>
  </si>
  <si>
    <t xml:space="preserve">Cód. tarefa</t>
  </si>
  <si>
    <t xml:space="preserve">Resultado (C/NC)</t>
  </si>
  <si>
    <t xml:space="preserve">Valor medido</t>
  </si>
  <si>
    <t xml:space="preserve">Ação tomada</t>
  </si>
  <si>
    <t xml:space="preserve">Visto</t>
  </si>
  <si>
    <t xml:space="preserve">C</t>
  </si>
  <si>
    <t xml:space="preserve">0,35 mm</t>
  </si>
  <si>
    <t xml:space="preserve">Nenhuma</t>
  </si>
  <si>
    <t xml:space="preserve">JS</t>
  </si>
  <si>
    <t xml:space="preserve">Peça / consumível</t>
  </si>
  <si>
    <t xml:space="preserve">Código</t>
  </si>
  <si>
    <t xml:space="preserve">Quantidade</t>
  </si>
  <si>
    <t xml:space="preserve">Lote/NF</t>
  </si>
  <si>
    <t xml:space="preserve">Anomalias encontradas / pendências:</t>
  </si>
  <si>
    <t xml:space="preserve">LIBERAÇÃO PARA USO</t>
  </si>
  <si>
    <t xml:space="preserve">☐ Ferramentas e materiais retirados da máquina</t>
  </si>
  <si>
    <t xml:space="preserve">☐ Proteções e tampas recolocadas</t>
  </si>
  <si>
    <t xml:space="preserve">☐ Teste funcional: freio, reversão de emergência, parada de emergência, elevação/descida, buzina</t>
  </si>
  <si>
    <t xml:space="preserve">☐ Sem vazamentos após teste</t>
  </si>
  <si>
    <t xml:space="preserve">☐ Bloqueio (cadeado/etiqueta) retirado pelo mesmo executor que bloqueou</t>
  </si>
  <si>
    <t xml:space="preserve">Executor (assinatura):</t>
  </si>
  <si>
    <t xml:space="preserve">Líder / liberação (assinatura):</t>
  </si>
  <si>
    <t xml:space="preserve">Programa de treinamento e matriz de habilitação</t>
  </si>
  <si>
    <t xml:space="preserve">Carga horária e nota mínima são sugestões (política interna). Reciclagem anual recomendada, alinhada à validade do cartão do operador (NR-11).</t>
  </si>
  <si>
    <t xml:space="preserve">Módulo</t>
  </si>
  <si>
    <t xml:space="preserve">Tema</t>
  </si>
  <si>
    <t xml:space="preserve">Público</t>
  </si>
  <si>
    <t xml:space="preserve">Carga (h)</t>
  </si>
  <si>
    <t xml:space="preserve">Teoria / prática</t>
  </si>
  <si>
    <t xml:space="preserve">Conteúdo-chave</t>
  </si>
  <si>
    <t xml:space="preserve">Avaliação para habilitar</t>
  </si>
  <si>
    <t xml:space="preserve">Base</t>
  </si>
  <si>
    <t xml:space="preserve">M1</t>
  </si>
  <si>
    <t xml:space="preserve">Segurança e regras de operação</t>
  </si>
  <si>
    <t xml:space="preserve">Operadores e assistentes</t>
  </si>
  <si>
    <t xml:space="preserve">Teoria</t>
  </si>
  <si>
    <t xml:space="preserve">Símbolos; regras do cap. 2 e 3; proibições (sobrecarga, passageiros, rampa, deslocar com garfo &gt; 500 mm, piso irregular, ambiente inflamável); capacidade x altura (Fig. 1); centro de carga 600 mm.</t>
  </si>
  <si>
    <t xml:space="preserve">Prova escrita ≥ 80%</t>
  </si>
  <si>
    <t xml:space="preserve">Manual cap. 2–3; NR-11</t>
  </si>
  <si>
    <t xml:space="preserve">M2</t>
  </si>
  <si>
    <t xml:space="preserve">Inspeção pré-uso e operação</t>
  </si>
  <si>
    <t xml:space="preserve">Prática</t>
  </si>
  <si>
    <t xml:space="preserve">Checklist diário item a item com a máquina; teste de freio, reversão e parada de emergência; posições A/B/C do timão; empilhar/desempilhar (300 mm da prateleira, 100 mm acima, 200–300 mm do chão).</t>
  </si>
  <si>
    <t xml:space="preserve">3 inspeções completas supervisionadas sem erro</t>
  </si>
  <si>
    <t xml:space="preserve">Manual cap. 4, 5, 7</t>
  </si>
  <si>
    <t xml:space="preserve">M3</t>
  </si>
  <si>
    <t xml:space="preserve">Bateria: carga, eletrólito e emergência química</t>
  </si>
  <si>
    <t xml:space="preserve">Assistentes (operadores: só carga)</t>
  </si>
  <si>
    <t xml:space="preserve">Teoria + prática</t>
  </si>
  <si>
    <t xml:space="preserve">Hidrogênio e ventilação; EPI de ácido; nível 15–25 mm; densímetro e correção por temperatura; carga comum e equalizadora; primeiros socorros (lavar com muita água; olhos: lavar e procurar médico); neutralização de derrame com cal ou bicarbonato.</t>
  </si>
  <si>
    <t xml:space="preserve">Medir 12 células e calcular D25 corretamente</t>
  </si>
  <si>
    <t xml:space="preserve">Manual cap. 6 e 11</t>
  </si>
  <si>
    <t xml:space="preserve">M4</t>
  </si>
  <si>
    <t xml:space="preserve">Bloqueio de energia e segurança na manutenção</t>
  </si>
  <si>
    <t xml:space="preserve">Assistentes</t>
  </si>
  <si>
    <t xml:space="preserve">Garfo no ponto mais baixo e calçado; chave e chave geral desligadas; desconectar bateria; cadeado + etiqueta; descarregar capacitores; sistema hidráulico despressurizado; trabalho em altura no mastro só com proteção; proibido fumar.</t>
  </si>
  <si>
    <t xml:space="preserve">Executar bloqueio completo sem falhas</t>
  </si>
  <si>
    <t xml:space="preserve">Manual 9.1; NR-12</t>
  </si>
  <si>
    <t xml:space="preserve">M5</t>
  </si>
  <si>
    <t xml:space="preserve">Manutenção N2</t>
  </si>
  <si>
    <t xml:space="preserve">Tarefas semanais e mensais da aba Plano: limpeza a seco, reaperto, lubrificação (graxa lítio NLGI 3), nível de óleo HLP 46, medição de folga do freio, medição de rodas.</t>
  </si>
  <si>
    <t xml:space="preserve">Executar 1 preventiva semanal e 1 mensal supervisionadas</t>
  </si>
  <si>
    <t xml:space="preserve">Manual 9.4–9.6</t>
  </si>
  <si>
    <t xml:space="preserve">M6</t>
  </si>
  <si>
    <t xml:space="preserve">Diagnóstico básico e escalonamento</t>
  </si>
  <si>
    <t xml:space="preserve">Leitura de códigos e LEDs do controlador; tabela de falhas comuns (aba Diagnóstico); o que o assistente pode fazer e quando parar e chamar a AT.</t>
  </si>
  <si>
    <t xml:space="preserve">Estudo de 5 casos ≥ 80%</t>
  </si>
  <si>
    <t xml:space="preserve">Manual cap. 12–13</t>
  </si>
  <si>
    <t xml:space="preserve">M7</t>
  </si>
  <si>
    <t xml:space="preserve">Registro e documentação</t>
  </si>
  <si>
    <t xml:space="preserve">Assistentes e líderes</t>
  </si>
  <si>
    <t xml:space="preserve">Preencher checklist, OS e Controle Horímetro; etiqueta 'NÃO OPERE'; arquivo para garantia.</t>
  </si>
  <si>
    <t xml:space="preserve">Preencher 1 OS completa</t>
  </si>
  <si>
    <t xml:space="preserve">NR-12 (registro)</t>
  </si>
  <si>
    <t xml:space="preserve">Total (h)</t>
  </si>
  <si>
    <t xml:space="preserve">MATRIZ DE HABILITAÇÃO — preencha com a data de aprovação (dd/mm/aaaa). Vazio = não habilitado.</t>
  </si>
  <si>
    <t xml:space="preserve">Nº</t>
  </si>
  <si>
    <t xml:space="preserve">Nome do assistente</t>
  </si>
  <si>
    <t xml:space="preserve">Função</t>
  </si>
  <si>
    <t xml:space="preserve">Habilitado N2?</t>
  </si>
  <si>
    <t xml:space="preserve">Reciclagem em</t>
  </si>
  <si>
    <t xml:space="preserve">Exemplo: João Silva</t>
  </si>
  <si>
    <t xml:space="preserve">Assistente</t>
  </si>
  <si>
    <t xml:space="preserve">Falhas comuns: ação imediata e quem resolve</t>
  </si>
  <si>
    <t xml:space="preserve">Resumo das Tabelas 9 a 12 e do item 5.3 do manual. Na dúvida, bloquear e chamar a Assistência Autorizada.</t>
  </si>
  <si>
    <t xml:space="preserve">Sintoma</t>
  </si>
  <si>
    <t xml:space="preserve">Ação imediata (operador)</t>
  </si>
  <si>
    <t xml:space="preserve">Causas prováveis (manual)</t>
  </si>
  <si>
    <t xml:space="preserve">Quem resolve</t>
  </si>
  <si>
    <t xml:space="preserve">Ref.</t>
  </si>
  <si>
    <t xml:space="preserve">Garfo continua subindo após soltar o botão</t>
  </si>
  <si>
    <t xml:space="preserve">Desligar a chave geral (cortar energia) imediatamente. Afastar pessoas. Não ficar sob o garfo. BLOQUEAR.</t>
  </si>
  <si>
    <t xml:space="preserve">Contator soldado / circuito de elevação</t>
  </si>
  <si>
    <t xml:space="preserve">5.3.1 / Tab. 12 cód. 3,8</t>
  </si>
  <si>
    <t xml:space="preserve">Freio não funciona em movimento</t>
  </si>
  <si>
    <t xml:space="preserve">Interromper a operação na hora; usar reversão/parada de emergência. BLOQUEAR.</t>
  </si>
  <si>
    <t xml:space="preserve">Parafusos do interruptor soltos; fio do freio solto; placas gastas</t>
  </si>
  <si>
    <t xml:space="preserve">5.3.2 / Tab. 9-4</t>
  </si>
  <si>
    <t xml:space="preserve">Máquina empurrando operador contra obstáculo</t>
  </si>
  <si>
    <t xml:space="preserve">Pressionar o botão de reversão de emergência no topo do timão.</t>
  </si>
  <si>
    <t xml:space="preserve">N1 (ação) / N3 (se falhar)</t>
  </si>
  <si>
    <t xml:space="preserve">5.3.3</t>
  </si>
  <si>
    <t xml:space="preserve">Máquina não liga (contator não atua)</t>
  </si>
  <si>
    <t xml:space="preserve">Verificar carga da bateria, parada de emergência rearmada e conector. Persistindo, bloquear.</t>
  </si>
  <si>
    <t xml:space="preserve">Fusível queimado; chave de energia ou trava elétrica com defeito; conexão da bateria solta</t>
  </si>
  <si>
    <t xml:space="preserve">N2 (fusível, conexão) / N3</t>
  </si>
  <si>
    <t xml:space="preserve">Tab. 9-1</t>
  </si>
  <si>
    <t xml:space="preserve">Garfo não sobe</t>
  </si>
  <si>
    <t xml:space="preserve">Não insistir. Conferir carga x capacidade e bateria.</t>
  </si>
  <si>
    <t xml:space="preserve">Sobrecarga; óleo insuficiente; bateria fraca; bomba/motor; válvula de alívio</t>
  </si>
  <si>
    <t xml:space="preserve">N2 (nível, carga) / N3</t>
  </si>
  <si>
    <t xml:space="preserve">Tab. 9-7</t>
  </si>
  <si>
    <t xml:space="preserve">Garfo não desce após elevar</t>
  </si>
  <si>
    <t xml:space="preserve">Não ficar sob a carga. Isolar a área. BLOQUEAR.</t>
  </si>
  <si>
    <t xml:space="preserve">Mastro deformado; rolete danificado; orifício de retorno obstruído; válvula eletromagnética</t>
  </si>
  <si>
    <t xml:space="preserve">Tab. 9-8</t>
  </si>
  <si>
    <t xml:space="preserve">Só sobe/desce, não anda</t>
  </si>
  <si>
    <t xml:space="preserve">Conferir posição do timão (deve estar na área B).</t>
  </si>
  <si>
    <t xml:space="preserve">Timão fora da área B; contator; placa de circuito</t>
  </si>
  <si>
    <t xml:space="preserve">N1 / N3</t>
  </si>
  <si>
    <t xml:space="preserve">5.2.1 / Tab. 9-2</t>
  </si>
  <si>
    <t xml:space="preserve">Direção dura, ruído, motor esquentando</t>
  </si>
  <si>
    <t xml:space="preserve">Parar e reportar.</t>
  </si>
  <si>
    <t xml:space="preserve">Rolamento preso ou sem lubrificação; folga de engrenagem; rolamento da roda</t>
  </si>
  <si>
    <t xml:space="preserve">Tab. 9-5, 9-6</t>
  </si>
  <si>
    <t xml:space="preserve">Máquina treme em movimento</t>
  </si>
  <si>
    <t xml:space="preserve">Porcas da roda motriz soltas; rodas fora do mesmo plano</t>
  </si>
  <si>
    <t xml:space="preserve">N2 (reaperto) / N3</t>
  </si>
  <si>
    <t xml:space="preserve">Tab. 9-10</t>
  </si>
  <si>
    <t xml:space="preserve">Autonomia da bateria caiu</t>
  </si>
  <si>
    <t xml:space="preserve">Recarregar completamente; registrar.</t>
  </si>
  <si>
    <t xml:space="preserve">Célula danificada; eletrólito baixo ou contaminado</t>
  </si>
  <si>
    <t xml:space="preserve">N2 (eletrólito) / N3</t>
  </si>
  <si>
    <t xml:space="preserve">Tab. 9-9</t>
  </si>
  <si>
    <t xml:space="preserve">Derrame de ácido / contato com pele ou olhos</t>
  </si>
  <si>
    <t xml:space="preserve">Pele: lavar com muita água. Olhos: lavar com muita água e procurar médico. Roupa: retirar e lavar. Piso: neutralizar com cal ou bicarbonato e lavar.</t>
  </si>
  <si>
    <t xml:space="preserve">Tombamento ou dano da bateria</t>
  </si>
  <si>
    <t xml:space="preserve">Todos (1º socorro) / N2</t>
  </si>
  <si>
    <t xml:space="preserve">6.8</t>
  </si>
  <si>
    <t xml:space="preserve">LEDs do controlador: vermelho e amarelo piscando</t>
  </si>
  <si>
    <t xml:space="preserve">Desligar, anotar o código, não religar repetidamente.</t>
  </si>
  <si>
    <t xml:space="preserve">Controlador com defeito</t>
  </si>
  <si>
    <t xml:space="preserve">Tab. 11</t>
  </si>
  <si>
    <t xml:space="preserve">Código de falha no visor</t>
  </si>
  <si>
    <t xml:space="preserve">Anotar o código no checklist/OS e reportar.</t>
  </si>
  <si>
    <t xml:space="preserve">Ver Tabelas 10 e 12 do manual (códigos 1,2 a 9,4)</t>
  </si>
  <si>
    <t xml:space="preserve">Cap. 13</t>
  </si>
  <si>
    <t xml:space="preserve">Lubrificantes, consumíveis, ferramentas e EPI recomendados</t>
  </si>
  <si>
    <t xml:space="preserve">Especificações do manual (item 9.9). Ferramentas especificadas por característica técnica, não por marca: compare orçamentos que atendam à especificação.</t>
  </si>
  <si>
    <t xml:space="preserve">Tipo</t>
  </si>
  <si>
    <t xml:space="preserve">Especificação mínima</t>
  </si>
  <si>
    <t xml:space="preserve">Uso / tarefa</t>
  </si>
  <si>
    <t xml:space="preserve">Fonte</t>
  </si>
  <si>
    <t xml:space="preserve">Lubrificante</t>
  </si>
  <si>
    <t xml:space="preserve">Óleo hidráulico (padrão)</t>
  </si>
  <si>
    <t xml:space="preserve">HLP ISO VG 46, DIN 51524-2 — 12 L por troca</t>
  </si>
  <si>
    <t xml:space="preserve">K01, M03</t>
  </si>
  <si>
    <t xml:space="preserve">Manual 9.9 / 9.3</t>
  </si>
  <si>
    <t xml:space="preserve">Óleo hidráulico (carga pesada, &gt;60 °C)</t>
  </si>
  <si>
    <t xml:space="preserve">HLP ISO VG 68, DIN 51524-2</t>
  </si>
  <si>
    <t xml:space="preserve">Só se a AT recomendar</t>
  </si>
  <si>
    <t xml:space="preserve">Manual 9.9.b</t>
  </si>
  <si>
    <t xml:space="preserve">Óleo hidráulico (baixa temperatura, &lt;60 °C)</t>
  </si>
  <si>
    <t xml:space="preserve">HLP ISO VG 32, DIN 51524-2</t>
  </si>
  <si>
    <t xml:space="preserve">Câmaras frias</t>
  </si>
  <si>
    <t xml:space="preserve">Manual 9.9.c</t>
  </si>
  <si>
    <t xml:space="preserve">Óleo de engrenagem</t>
  </si>
  <si>
    <t xml:space="preserve">SAE 85W-90, API GL-5 (hipoide)</t>
  </si>
  <si>
    <t xml:space="preserve">Manual 9.9</t>
  </si>
  <si>
    <t xml:space="preserve">Graxa</t>
  </si>
  <si>
    <t xml:space="preserve">Graxa de lítio NLGI 3</t>
  </si>
  <si>
    <t xml:space="preserve">M06, articulações</t>
  </si>
  <si>
    <t xml:space="preserve">Água destilada / desmineralizada</t>
  </si>
  <si>
    <t xml:space="preserve">Pura, sem minerais; nunca água de torneira</t>
  </si>
  <si>
    <t xml:space="preserve">Manual 6.2.4</t>
  </si>
  <si>
    <t xml:space="preserve">Eletrólito (só carga inicial ou correção por profissional)</t>
  </si>
  <si>
    <t xml:space="preserve">Ácido sulfúrico 1,260 ± 0,005 (25 °C); correção com 1,40</t>
  </si>
  <si>
    <t xml:space="preserve">Carga inicial</t>
  </si>
  <si>
    <t xml:space="preserve">Manual 6.2.3 / 6.2.7</t>
  </si>
  <si>
    <t xml:space="preserve">Limpeza</t>
  </si>
  <si>
    <t xml:space="preserve">Spray limpa-contatos</t>
  </si>
  <si>
    <t xml:space="preserve">Para contatos elétricos, não condutivo</t>
  </si>
  <si>
    <t xml:space="preserve">M07, armazenamento</t>
  </si>
  <si>
    <t xml:space="preserve">Manual 10.1.h</t>
  </si>
  <si>
    <t xml:space="preserve">Bicarbonato de sódio ou cal</t>
  </si>
  <si>
    <t xml:space="preserve">Neutralização de ácido</t>
  </si>
  <si>
    <t xml:space="preserve">S06, emergência</t>
  </si>
  <si>
    <t xml:space="preserve">Manual 6.8.d</t>
  </si>
  <si>
    <t xml:space="preserve">Ferramenta</t>
  </si>
  <si>
    <t xml:space="preserve">Calibrador de lâminas (cálibre de folga)</t>
  </si>
  <si>
    <t xml:space="preserve">Faixa 0,05–1,00 mm, lâminas de 0,05 mm</t>
  </si>
  <si>
    <t xml:space="preserve">S01, M01, T02</t>
  </si>
  <si>
    <t xml:space="preserve">Densímetro de bateria</t>
  </si>
  <si>
    <t xml:space="preserve">De aspiração, escala 1,100–1,300 g/ml, com termômetro</t>
  </si>
  <si>
    <t xml:space="preserve">S05, M09, B01</t>
  </si>
  <si>
    <t xml:space="preserve">Manual 6.6.a</t>
  </si>
  <si>
    <t xml:space="preserve">Multímetro digital</t>
  </si>
  <si>
    <t xml:space="preserve">True RMS, CAT III 600 V (mín.), medição de tensão CC e continuidade</t>
  </si>
  <si>
    <t xml:space="preserve">S07, M02, M07, B01</t>
  </si>
  <si>
    <t xml:space="preserve">0–300 mm, resolução 0,05 mm</t>
  </si>
  <si>
    <t xml:space="preserve">Rodas (limites 237,5 e 76 mm)</t>
  </si>
  <si>
    <t xml:space="preserve">Pistola de graxa</t>
  </si>
  <si>
    <t xml:space="preserve">Manual, com bico flexível</t>
  </si>
  <si>
    <t xml:space="preserve">Funil e jarra plásticos</t>
  </si>
  <si>
    <t xml:space="preserve">Não metálicos, exclusivos para a bateria</t>
  </si>
  <si>
    <t xml:space="preserve">Manual 6.5.b</t>
  </si>
  <si>
    <t xml:space="preserve">Ar comprimido</t>
  </si>
  <si>
    <t xml:space="preserve">Bico de segurança com pressão reduzida; nunca contra o corpo</t>
  </si>
  <si>
    <t xml:space="preserve">P03, limpeza elétrica</t>
  </si>
  <si>
    <t xml:space="preserve">Manual 3.1.2</t>
  </si>
  <si>
    <t xml:space="preserve">Métrico</t>
  </si>
  <si>
    <t xml:space="preserve">S08, M05</t>
  </si>
  <si>
    <t xml:space="preserve">Kit de bloqueio (LOTO)</t>
  </si>
  <si>
    <t xml:space="preserve">Cadeado individual com chave única, etiqueta 'NÃO OPERE', garra para conector da bateria</t>
  </si>
  <si>
    <t xml:space="preserve">Toda manutenção N2/N3</t>
  </si>
  <si>
    <t xml:space="preserve">NR-12</t>
  </si>
  <si>
    <t xml:space="preserve">Calços / cavaletes de madeira</t>
  </si>
  <si>
    <t xml:space="preserve">Madeira quadrada resistente ao peso (1.328 kg + bateria)</t>
  </si>
  <si>
    <t xml:space="preserve">Garfo calçado, armazenamento</t>
  </si>
  <si>
    <t xml:space="preserve">Manual 10.1.d</t>
  </si>
  <si>
    <t xml:space="preserve">Extintor na área de carga</t>
  </si>
  <si>
    <t xml:space="preserve">Classe adequada a equipamentos elétricos (CO₂ ou pó ABC)</t>
  </si>
  <si>
    <t xml:space="preserve">Área de carga</t>
  </si>
  <si>
    <t xml:space="preserve">Manual 2.1.4.c</t>
  </si>
  <si>
    <t xml:space="preserve">Lava-olhos (de emergência ou frasco)</t>
  </si>
  <si>
    <t xml:space="preserve">Próximo à área de carga da bateria</t>
  </si>
  <si>
    <t xml:space="preserve">Emergência química</t>
  </si>
  <si>
    <t xml:space="preserve">Óculos de ampla visão / protetor facial</t>
  </si>
  <si>
    <t xml:space="preserve">Com CA válido</t>
  </si>
  <si>
    <t xml:space="preserve">Bateria, ar comprimido</t>
  </si>
  <si>
    <t xml:space="preserve">NR-6</t>
  </si>
  <si>
    <t xml:space="preserve">Luvas resistentes a ácido</t>
  </si>
  <si>
    <t xml:space="preserve">Nitrílica ou PVC, com CA</t>
  </si>
  <si>
    <t xml:space="preserve">Avental de PVC</t>
  </si>
  <si>
    <t xml:space="preserve">Com CA</t>
  </si>
  <si>
    <t xml:space="preserve">NR-6 / Manual cap. 11</t>
  </si>
  <si>
    <t xml:space="preserve">Botina de segurança</t>
  </si>
  <si>
    <t xml:space="preserve">Com biqueira, com CA</t>
  </si>
  <si>
    <t xml:space="preserve">Todos</t>
  </si>
  <si>
    <t xml:space="preserve">Manual 2.1.2 / NR-6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</si>
</sst>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/mm"/>
    <numFmt numFmtId="167" formatCode="dd/mm/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D9E2F3"/>
      </patternFill>
    </fill>
    <fill>
      <patternFill patternType="solid">
        <fgColor rgb="FFFFF2CC"/>
        <bgColor rgb="FFFFE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</font>
      <fill>
        <patternFill>
          <bgColor rgb="FFF8CBAD"/>
        </patternFill>
      </fill>
    </dxf>
    <dxf>
      <font>
        <name val="Arial"/>
        <charset val="1"/>
        <family val="0"/>
        <b val="1"/>
      </font>
      <fill>
        <patternFill>
          <bgColor rgb="FFFFE699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D9E2F3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23.85" hidden="false" customHeight="false" outlineLevel="0" collapsed="false">
      <c r="A5" s="5" t="s">
        <v>3</v>
      </c>
      <c r="B5" s="6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23.85" hidden="false" customHeight="false" outlineLevel="0" collapsed="false">
      <c r="A7" s="5" t="s">
        <v>7</v>
      </c>
      <c r="B7" s="6" t="s">
        <v>8</v>
      </c>
    </row>
    <row r="8" customFormat="false" ht="23.85" hidden="false" customHeight="false" outlineLevel="0" collapsed="false">
      <c r="A8" s="5" t="s">
        <v>9</v>
      </c>
      <c r="B8" s="6" t="s">
        <v>10</v>
      </c>
    </row>
    <row r="9" customFormat="false" ht="23.8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/>
      <c r="B10" s="6"/>
    </row>
    <row r="11" customFormat="false" ht="15" hidden="false" customHeight="false" outlineLevel="0" collapsed="false">
      <c r="A11" s="3" t="s">
        <v>13</v>
      </c>
      <c r="B11" s="4"/>
    </row>
    <row r="12" customFormat="false" ht="23.85" hidden="false" customHeight="false" outlineLevel="0" collapsed="false">
      <c r="A12" s="5" t="s">
        <v>14</v>
      </c>
      <c r="B12" s="6" t="s">
        <v>15</v>
      </c>
    </row>
    <row r="13" customFormat="false" ht="23.85" hidden="false" customHeight="false" outlineLevel="0" collapsed="false">
      <c r="A13" s="5" t="s">
        <v>16</v>
      </c>
      <c r="B13" s="6" t="s">
        <v>17</v>
      </c>
    </row>
    <row r="14" customFormat="false" ht="23.85" hidden="false" customHeight="false" outlineLevel="0" collapsed="false">
      <c r="A14" s="5" t="s">
        <v>18</v>
      </c>
      <c r="B14" s="6" t="s">
        <v>19</v>
      </c>
    </row>
    <row r="15" customFormat="false" ht="15" hidden="false" customHeight="false" outlineLevel="0" collapsed="false">
      <c r="A15" s="5"/>
      <c r="B15" s="6"/>
    </row>
    <row r="16" customFormat="false" ht="15" hidden="false" customHeight="false" outlineLevel="0" collapsed="false">
      <c r="A16" s="3" t="s">
        <v>20</v>
      </c>
      <c r="B16" s="4"/>
    </row>
    <row r="17" customFormat="false" ht="15" hidden="false" customHeight="false" outlineLevel="0" collapsed="false">
      <c r="A17" s="7" t="s">
        <v>21</v>
      </c>
      <c r="B17" s="6" t="s">
        <v>22</v>
      </c>
    </row>
    <row r="18" customFormat="false" ht="15" hidden="false" customHeight="false" outlineLevel="0" collapsed="false">
      <c r="A18" s="8" t="s">
        <v>23</v>
      </c>
      <c r="B18" s="6" t="s">
        <v>24</v>
      </c>
    </row>
    <row r="19" customFormat="false" ht="15" hidden="false" customHeight="false" outlineLevel="0" collapsed="false">
      <c r="A19" s="9" t="s">
        <v>25</v>
      </c>
      <c r="B19" s="6" t="s">
        <v>26</v>
      </c>
    </row>
    <row r="20" customFormat="false" ht="15" hidden="false" customHeight="false" outlineLevel="0" collapsed="false">
      <c r="A20" s="5"/>
      <c r="B20" s="6"/>
    </row>
    <row r="21" customFormat="false" ht="46.25" hidden="false" customHeight="false" outlineLevel="0" collapsed="false">
      <c r="A21" s="5" t="s">
        <v>27</v>
      </c>
      <c r="B21" s="6" t="s">
        <v>28</v>
      </c>
    </row>
    <row r="22" customFormat="false" ht="15" hidden="false" customHeight="false" outlineLevel="0" collapsed="false">
      <c r="A22" s="5"/>
      <c r="B22" s="6"/>
    </row>
    <row r="23" customFormat="false" ht="15" hidden="false" customHeight="false" outlineLevel="0" collapsed="false">
      <c r="A23" s="3" t="s">
        <v>29</v>
      </c>
      <c r="B23" s="4"/>
    </row>
    <row r="24" customFormat="false" ht="15" hidden="false" customHeight="false" outlineLevel="0" collapsed="false">
      <c r="A24" s="5" t="s">
        <v>30</v>
      </c>
      <c r="B24" s="6" t="s">
        <v>31</v>
      </c>
    </row>
    <row r="25" customFormat="false" ht="23.85" hidden="false" customHeight="false" outlineLevel="0" collapsed="false">
      <c r="A25" s="5" t="s">
        <v>32</v>
      </c>
      <c r="B25" s="6" t="s">
        <v>33</v>
      </c>
    </row>
    <row r="26" customFormat="false" ht="23.85" hidden="false" customHeight="false" outlineLevel="0" collapsed="false">
      <c r="A26" s="5" t="s">
        <v>34</v>
      </c>
      <c r="B26" s="6" t="s">
        <v>35</v>
      </c>
    </row>
    <row r="27" customFormat="false" ht="15" hidden="false" customHeight="false" outlineLevel="0" collapsed="false">
      <c r="A27" s="5"/>
      <c r="B27" s="6"/>
    </row>
    <row r="28" customFormat="false" ht="15" hidden="false" customHeight="false" outlineLevel="0" collapsed="false">
      <c r="A28" s="3" t="s">
        <v>36</v>
      </c>
      <c r="B28" s="4"/>
    </row>
    <row r="29" customFormat="false" ht="23.85" hidden="false" customHeight="false" outlineLevel="0" collapsed="false">
      <c r="A29" s="5" t="s">
        <v>37</v>
      </c>
      <c r="B29" s="6" t="s">
        <v>38</v>
      </c>
    </row>
    <row r="30" customFormat="false" ht="15" hidden="false" customHeight="false" outlineLevel="0" collapsed="false">
      <c r="A30" s="5" t="s">
        <v>39</v>
      </c>
      <c r="B30" s="6" t="s">
        <v>40</v>
      </c>
    </row>
    <row r="31" customFormat="false" ht="23.85" hidden="false" customHeight="false" outlineLevel="0" collapsed="false">
      <c r="A31" s="5" t="s">
        <v>41</v>
      </c>
      <c r="B31" s="6" t="s">
        <v>42</v>
      </c>
    </row>
    <row r="32" customFormat="false" ht="23.85" hidden="false" customHeight="false" outlineLevel="0" collapsed="false">
      <c r="A32" s="5" t="s">
        <v>43</v>
      </c>
      <c r="B32" s="6" t="s">
        <v>44</v>
      </c>
    </row>
    <row r="33" customFormat="false" ht="15" hidden="false" customHeight="false" outlineLevel="0" collapsed="false">
      <c r="A33" s="5" t="s">
        <v>45</v>
      </c>
      <c r="B33" s="6" t="s">
        <v>46</v>
      </c>
    </row>
    <row r="34" customFormat="false" ht="15" hidden="false" customHeight="false" outlineLevel="0" collapsed="false">
      <c r="A34" s="5" t="s">
        <v>47</v>
      </c>
      <c r="B34" s="6" t="s">
        <v>48</v>
      </c>
    </row>
    <row r="35" customFormat="false" ht="23.85" hidden="false" customHeight="false" outlineLevel="0" collapsed="false">
      <c r="A35" s="5" t="s">
        <v>49</v>
      </c>
      <c r="B35" s="6" t="s">
        <v>50</v>
      </c>
    </row>
    <row r="36" customFormat="false" ht="23.85" hidden="false" customHeight="false" outlineLevel="0" collapsed="false">
      <c r="A36" s="5" t="s">
        <v>51</v>
      </c>
      <c r="B36" s="6" t="s">
        <v>52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</row>
    <row r="5" customFormat="false" ht="23.85" hidden="false" customHeight="false" outlineLevel="0" collapsed="false">
      <c r="A5" s="11" t="s">
        <v>60</v>
      </c>
      <c r="B5" s="11" t="s">
        <v>61</v>
      </c>
      <c r="C5" s="12" t="n">
        <v>1500</v>
      </c>
      <c r="D5" s="11" t="s">
        <v>62</v>
      </c>
      <c r="E5" s="11" t="s">
        <v>63</v>
      </c>
    </row>
    <row r="6" customFormat="false" ht="15" hidden="false" customHeight="false" outlineLevel="0" collapsed="false">
      <c r="A6" s="11" t="s">
        <v>60</v>
      </c>
      <c r="B6" s="11" t="s">
        <v>64</v>
      </c>
      <c r="C6" s="12" t="n">
        <v>600</v>
      </c>
      <c r="D6" s="11" t="s">
        <v>65</v>
      </c>
      <c r="E6" s="11" t="s">
        <v>66</v>
      </c>
    </row>
    <row r="7" customFormat="false" ht="15" hidden="false" customHeight="false" outlineLevel="0" collapsed="false">
      <c r="A7" s="11" t="s">
        <v>60</v>
      </c>
      <c r="B7" s="11" t="s">
        <v>67</v>
      </c>
      <c r="C7" s="12" t="n">
        <v>5600</v>
      </c>
      <c r="D7" s="11" t="s">
        <v>65</v>
      </c>
      <c r="E7" s="11" t="s">
        <v>66</v>
      </c>
    </row>
    <row r="8" customFormat="false" ht="23.85" hidden="false" customHeight="false" outlineLevel="0" collapsed="false">
      <c r="A8" s="11" t="s">
        <v>60</v>
      </c>
      <c r="B8" s="11" t="s">
        <v>68</v>
      </c>
      <c r="C8" s="12" t="n">
        <v>1800</v>
      </c>
      <c r="D8" s="11" t="s">
        <v>65</v>
      </c>
      <c r="E8" s="11" t="s">
        <v>69</v>
      </c>
    </row>
    <row r="9" customFormat="false" ht="15" hidden="false" customHeight="false" outlineLevel="0" collapsed="false">
      <c r="A9" s="11" t="s">
        <v>60</v>
      </c>
      <c r="B9" s="11" t="s">
        <v>70</v>
      </c>
      <c r="C9" s="12" t="n">
        <v>1328</v>
      </c>
      <c r="D9" s="11" t="s">
        <v>62</v>
      </c>
      <c r="E9" s="11" t="s">
        <v>71</v>
      </c>
    </row>
    <row r="10" customFormat="false" ht="15" hidden="false" customHeight="false" outlineLevel="0" collapsed="false">
      <c r="A10" s="11" t="s">
        <v>60</v>
      </c>
      <c r="B10" s="11" t="s">
        <v>72</v>
      </c>
      <c r="C10" s="12" t="n">
        <v>2450</v>
      </c>
      <c r="D10" s="11" t="s">
        <v>65</v>
      </c>
      <c r="E10" s="11" t="s">
        <v>66</v>
      </c>
    </row>
    <row r="11" customFormat="false" ht="15" hidden="false" customHeight="false" outlineLevel="0" collapsed="false">
      <c r="A11" s="11" t="s">
        <v>60</v>
      </c>
      <c r="B11" s="11" t="s">
        <v>73</v>
      </c>
      <c r="C11" s="12" t="n">
        <v>1575</v>
      </c>
      <c r="D11" s="11" t="s">
        <v>65</v>
      </c>
      <c r="E11" s="11" t="s">
        <v>66</v>
      </c>
    </row>
    <row r="12" customFormat="false" ht="15" hidden="false" customHeight="false" outlineLevel="0" collapsed="false">
      <c r="A12" s="11" t="s">
        <v>74</v>
      </c>
      <c r="B12" s="11" t="s">
        <v>75</v>
      </c>
      <c r="C12" s="12" t="n">
        <v>-25</v>
      </c>
      <c r="D12" s="11" t="s">
        <v>76</v>
      </c>
      <c r="E12" s="11" t="s">
        <v>77</v>
      </c>
    </row>
    <row r="13" customFormat="false" ht="15" hidden="false" customHeight="false" outlineLevel="0" collapsed="false">
      <c r="A13" s="11" t="s">
        <v>74</v>
      </c>
      <c r="B13" s="11" t="s">
        <v>78</v>
      </c>
      <c r="C13" s="12" t="n">
        <v>40</v>
      </c>
      <c r="D13" s="11" t="s">
        <v>76</v>
      </c>
      <c r="E13" s="11" t="s">
        <v>79</v>
      </c>
    </row>
    <row r="14" customFormat="false" ht="15" hidden="false" customHeight="false" outlineLevel="0" collapsed="false">
      <c r="A14" s="11" t="s">
        <v>74</v>
      </c>
      <c r="B14" s="11" t="s">
        <v>80</v>
      </c>
      <c r="C14" s="12" t="n">
        <v>1000</v>
      </c>
      <c r="D14" s="11" t="s">
        <v>81</v>
      </c>
      <c r="E14" s="11" t="s">
        <v>77</v>
      </c>
    </row>
    <row r="15" customFormat="false" ht="15" hidden="false" customHeight="false" outlineLevel="0" collapsed="false">
      <c r="A15" s="11" t="s">
        <v>32</v>
      </c>
      <c r="B15" s="11" t="s">
        <v>82</v>
      </c>
      <c r="C15" s="12" t="s">
        <v>83</v>
      </c>
      <c r="D15" s="11"/>
      <c r="E15" s="11" t="s">
        <v>84</v>
      </c>
    </row>
    <row r="16" customFormat="false" ht="15" hidden="false" customHeight="false" outlineLevel="0" collapsed="false">
      <c r="A16" s="11" t="s">
        <v>32</v>
      </c>
      <c r="B16" s="11" t="s">
        <v>85</v>
      </c>
      <c r="C16" s="12" t="n">
        <v>20.4</v>
      </c>
      <c r="D16" s="11" t="s">
        <v>86</v>
      </c>
      <c r="E16" s="11" t="s">
        <v>87</v>
      </c>
    </row>
    <row r="17" customFormat="false" ht="15" hidden="false" customHeight="false" outlineLevel="0" collapsed="false">
      <c r="A17" s="11" t="s">
        <v>32</v>
      </c>
      <c r="B17" s="11" t="s">
        <v>88</v>
      </c>
      <c r="C17" s="12" t="n">
        <v>1.28</v>
      </c>
      <c r="D17" s="11" t="s">
        <v>89</v>
      </c>
      <c r="E17" s="11" t="s">
        <v>90</v>
      </c>
    </row>
    <row r="18" customFormat="false" ht="15" hidden="false" customHeight="false" outlineLevel="0" collapsed="false">
      <c r="A18" s="11" t="s">
        <v>32</v>
      </c>
      <c r="B18" s="11" t="s">
        <v>91</v>
      </c>
      <c r="C18" s="12" t="n">
        <v>1.17</v>
      </c>
      <c r="D18" s="11" t="s">
        <v>89</v>
      </c>
      <c r="E18" s="11" t="s">
        <v>92</v>
      </c>
    </row>
    <row r="19" customFormat="false" ht="15" hidden="false" customHeight="false" outlineLevel="0" collapsed="false">
      <c r="A19" s="11" t="s">
        <v>32</v>
      </c>
      <c r="B19" s="11" t="s">
        <v>93</v>
      </c>
      <c r="C19" s="12" t="n">
        <v>15</v>
      </c>
      <c r="D19" s="11" t="s">
        <v>65</v>
      </c>
      <c r="E19" s="11" t="s">
        <v>94</v>
      </c>
    </row>
    <row r="20" customFormat="false" ht="15" hidden="false" customHeight="false" outlineLevel="0" collapsed="false">
      <c r="A20" s="11" t="s">
        <v>32</v>
      </c>
      <c r="B20" s="11" t="s">
        <v>95</v>
      </c>
      <c r="C20" s="12" t="n">
        <v>25</v>
      </c>
      <c r="D20" s="11" t="s">
        <v>65</v>
      </c>
      <c r="E20" s="11" t="s">
        <v>96</v>
      </c>
    </row>
    <row r="21" customFormat="false" ht="15" hidden="false" customHeight="false" outlineLevel="0" collapsed="false">
      <c r="A21" s="11" t="s">
        <v>32</v>
      </c>
      <c r="B21" s="11" t="s">
        <v>97</v>
      </c>
      <c r="C21" s="12" t="n">
        <v>45</v>
      </c>
      <c r="D21" s="11" t="s">
        <v>76</v>
      </c>
      <c r="E21" s="11" t="s">
        <v>98</v>
      </c>
    </row>
    <row r="22" customFormat="false" ht="15" hidden="false" customHeight="false" outlineLevel="0" collapsed="false">
      <c r="A22" s="11" t="s">
        <v>32</v>
      </c>
      <c r="B22" s="11" t="s">
        <v>99</v>
      </c>
      <c r="C22" s="12" t="n">
        <v>31.2</v>
      </c>
      <c r="D22" s="11" t="s">
        <v>86</v>
      </c>
      <c r="E22" s="11" t="s">
        <v>100</v>
      </c>
    </row>
    <row r="23" customFormat="false" ht="15" hidden="false" customHeight="false" outlineLevel="0" collapsed="false">
      <c r="A23" s="11" t="s">
        <v>32</v>
      </c>
      <c r="B23" s="11" t="s">
        <v>101</v>
      </c>
      <c r="C23" s="12" t="n">
        <v>12</v>
      </c>
      <c r="D23" s="11" t="s">
        <v>102</v>
      </c>
      <c r="E23" s="11" t="s">
        <v>103</v>
      </c>
    </row>
    <row r="24" customFormat="false" ht="23.85" hidden="false" customHeight="false" outlineLevel="0" collapsed="false">
      <c r="A24" s="11" t="s">
        <v>32</v>
      </c>
      <c r="B24" s="11" t="s">
        <v>104</v>
      </c>
      <c r="C24" s="12" t="s">
        <v>105</v>
      </c>
      <c r="D24" s="11"/>
      <c r="E24" s="11" t="s">
        <v>106</v>
      </c>
    </row>
    <row r="25" customFormat="false" ht="15" hidden="false" customHeight="false" outlineLevel="0" collapsed="false">
      <c r="A25" s="11" t="s">
        <v>107</v>
      </c>
      <c r="B25" s="11" t="s">
        <v>108</v>
      </c>
      <c r="C25" s="12" t="s">
        <v>109</v>
      </c>
      <c r="D25" s="11"/>
      <c r="E25" s="11" t="s">
        <v>110</v>
      </c>
    </row>
    <row r="26" customFormat="false" ht="15" hidden="false" customHeight="false" outlineLevel="0" collapsed="false">
      <c r="A26" s="11" t="s">
        <v>111</v>
      </c>
      <c r="B26" s="11" t="s">
        <v>112</v>
      </c>
      <c r="C26" s="12" t="n">
        <v>0.2</v>
      </c>
      <c r="D26" s="11" t="s">
        <v>65</v>
      </c>
      <c r="E26" s="11" t="s">
        <v>113</v>
      </c>
    </row>
    <row r="27" customFormat="false" ht="15" hidden="false" customHeight="false" outlineLevel="0" collapsed="false">
      <c r="A27" s="11" t="s">
        <v>111</v>
      </c>
      <c r="B27" s="11" t="s">
        <v>114</v>
      </c>
      <c r="C27" s="12" t="n">
        <v>0.3</v>
      </c>
      <c r="D27" s="11" t="s">
        <v>65</v>
      </c>
      <c r="E27" s="11" t="s">
        <v>115</v>
      </c>
    </row>
    <row r="28" customFormat="false" ht="15" hidden="false" customHeight="false" outlineLevel="0" collapsed="false">
      <c r="A28" s="11" t="s">
        <v>111</v>
      </c>
      <c r="B28" s="11" t="s">
        <v>116</v>
      </c>
      <c r="C28" s="12" t="n">
        <v>0.5</v>
      </c>
      <c r="D28" s="11" t="s">
        <v>65</v>
      </c>
      <c r="E28" s="11" t="s">
        <v>117</v>
      </c>
    </row>
    <row r="29" customFormat="false" ht="23.85" hidden="false" customHeight="false" outlineLevel="0" collapsed="false">
      <c r="A29" s="11" t="s">
        <v>111</v>
      </c>
      <c r="B29" s="11" t="s">
        <v>118</v>
      </c>
      <c r="C29" s="12" t="n">
        <v>0.8</v>
      </c>
      <c r="D29" s="11" t="s">
        <v>65</v>
      </c>
      <c r="E29" s="11" t="s">
        <v>119</v>
      </c>
    </row>
    <row r="30" customFormat="false" ht="15" hidden="false" customHeight="false" outlineLevel="0" collapsed="false">
      <c r="A30" s="11" t="s">
        <v>120</v>
      </c>
      <c r="B30" s="11" t="s">
        <v>121</v>
      </c>
      <c r="C30" s="12" t="n">
        <v>250</v>
      </c>
      <c r="D30" s="11" t="s">
        <v>65</v>
      </c>
      <c r="E30" s="11" t="s">
        <v>122</v>
      </c>
    </row>
    <row r="31" customFormat="false" ht="15" hidden="false" customHeight="false" outlineLevel="0" collapsed="false">
      <c r="A31" s="11" t="s">
        <v>120</v>
      </c>
      <c r="B31" s="11" t="s">
        <v>123</v>
      </c>
      <c r="C31" s="12" t="n">
        <f aca="false">C30*0.95</f>
        <v>237.5</v>
      </c>
      <c r="D31" s="11" t="s">
        <v>65</v>
      </c>
      <c r="E31" s="11" t="s">
        <v>124</v>
      </c>
    </row>
    <row r="32" customFormat="false" ht="15" hidden="false" customHeight="false" outlineLevel="0" collapsed="false">
      <c r="A32" s="11" t="s">
        <v>120</v>
      </c>
      <c r="B32" s="11" t="s">
        <v>125</v>
      </c>
      <c r="C32" s="12" t="n">
        <v>80</v>
      </c>
      <c r="D32" s="11" t="s">
        <v>65</v>
      </c>
      <c r="E32" s="11" t="s">
        <v>126</v>
      </c>
    </row>
    <row r="33" customFormat="false" ht="15" hidden="false" customHeight="false" outlineLevel="0" collapsed="false">
      <c r="A33" s="11" t="s">
        <v>120</v>
      </c>
      <c r="B33" s="11" t="s">
        <v>127</v>
      </c>
      <c r="C33" s="12" t="n">
        <f aca="false">C32*0.95</f>
        <v>76</v>
      </c>
      <c r="D33" s="11" t="s">
        <v>65</v>
      </c>
      <c r="E33" s="11" t="s">
        <v>128</v>
      </c>
    </row>
    <row r="34" customFormat="false" ht="15" hidden="false" customHeight="false" outlineLevel="0" collapsed="false">
      <c r="A34" s="11" t="s">
        <v>129</v>
      </c>
      <c r="B34" s="11" t="s">
        <v>130</v>
      </c>
      <c r="C34" s="12" t="n">
        <v>12</v>
      </c>
      <c r="D34" s="11" t="s">
        <v>131</v>
      </c>
      <c r="E34" s="11" t="s">
        <v>132</v>
      </c>
    </row>
    <row r="35" customFormat="false" ht="15" hidden="false" customHeight="false" outlineLevel="0" collapsed="false">
      <c r="A35" s="11" t="s">
        <v>129</v>
      </c>
      <c r="B35" s="11" t="s">
        <v>133</v>
      </c>
      <c r="C35" s="12" t="n">
        <v>16</v>
      </c>
      <c r="D35" s="11" t="s">
        <v>134</v>
      </c>
      <c r="E35" s="11" t="s">
        <v>135</v>
      </c>
    </row>
    <row r="36" customFormat="false" ht="23.85" hidden="false" customHeight="false" outlineLevel="0" collapsed="false">
      <c r="A36" s="11" t="s">
        <v>136</v>
      </c>
      <c r="B36" s="11" t="s">
        <v>137</v>
      </c>
      <c r="C36" s="12" t="n">
        <v>6</v>
      </c>
      <c r="D36" s="11" t="s">
        <v>81</v>
      </c>
      <c r="E36" s="11" t="s">
        <v>138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40"/>
    <col collapsed="false" customWidth="true" hidden="false" outlineLevel="0" max="8" min="5" style="0" width="5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44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3" customFormat="false" ht="15" hidden="false" customHeight="false" outlineLevel="0" collapsed="false">
      <c r="A3" s="13" t="s">
        <v>141</v>
      </c>
    </row>
    <row r="5" customFormat="false" ht="15" hidden="false" customHeight="false" outlineLevel="0" collapsed="false">
      <c r="A5" s="10" t="s">
        <v>142</v>
      </c>
      <c r="B5" s="10" t="s">
        <v>143</v>
      </c>
      <c r="C5" s="10" t="s">
        <v>144</v>
      </c>
      <c r="D5" s="10" t="s">
        <v>145</v>
      </c>
      <c r="E5" s="10" t="s">
        <v>146</v>
      </c>
      <c r="F5" s="10" t="s">
        <v>147</v>
      </c>
      <c r="G5" s="10" t="s">
        <v>148</v>
      </c>
      <c r="H5" s="10" t="s">
        <v>149</v>
      </c>
      <c r="I5" s="10" t="s">
        <v>150</v>
      </c>
      <c r="J5" s="10" t="s">
        <v>151</v>
      </c>
      <c r="K5" s="10" t="s">
        <v>152</v>
      </c>
    </row>
    <row r="6" customFormat="false" ht="23.85" hidden="false" customHeight="false" outlineLevel="0" collapsed="false">
      <c r="A6" s="12" t="s">
        <v>153</v>
      </c>
      <c r="B6" s="11" t="s">
        <v>154</v>
      </c>
      <c r="C6" s="11" t="s">
        <v>155</v>
      </c>
      <c r="D6" s="11" t="s">
        <v>156</v>
      </c>
      <c r="E6" s="14" t="n">
        <v>5</v>
      </c>
      <c r="F6" s="14" t="n">
        <v>4</v>
      </c>
      <c r="G6" s="14" t="n">
        <v>4</v>
      </c>
      <c r="H6" s="14" t="n">
        <v>3</v>
      </c>
      <c r="I6" s="12" t="n">
        <f aca="false">(2*E6+F6+G6)*H6</f>
        <v>54</v>
      </c>
      <c r="J6" s="12" t="str">
        <f aca="false">IF(OR(E6=5,I6&gt;=60),"A",IF(OR(E6=4,I6&gt;=30),"B","C"))</f>
        <v>A</v>
      </c>
      <c r="K6" s="11" t="s">
        <v>157</v>
      </c>
    </row>
    <row r="7" customFormat="false" ht="23.85" hidden="false" customHeight="false" outlineLevel="0" collapsed="false">
      <c r="A7" s="12" t="s">
        <v>158</v>
      </c>
      <c r="B7" s="11" t="s">
        <v>159</v>
      </c>
      <c r="C7" s="11" t="s">
        <v>160</v>
      </c>
      <c r="D7" s="11" t="s">
        <v>161</v>
      </c>
      <c r="E7" s="14" t="n">
        <v>5</v>
      </c>
      <c r="F7" s="14" t="n">
        <v>1</v>
      </c>
      <c r="G7" s="14" t="n">
        <v>2</v>
      </c>
      <c r="H7" s="14" t="n">
        <v>2</v>
      </c>
      <c r="I7" s="12" t="n">
        <f aca="false">(2*E7+F7+G7)*H7</f>
        <v>26</v>
      </c>
      <c r="J7" s="12" t="str">
        <f aca="false">IF(OR(E7=5,I7&gt;=60),"A",IF(OR(E7=4,I7&gt;=30),"B","C"))</f>
        <v>A</v>
      </c>
      <c r="K7" s="11" t="s">
        <v>162</v>
      </c>
    </row>
    <row r="8" customFormat="false" ht="23.85" hidden="false" customHeight="false" outlineLevel="0" collapsed="false">
      <c r="A8" s="12" t="s">
        <v>163</v>
      </c>
      <c r="B8" s="11" t="s">
        <v>164</v>
      </c>
      <c r="C8" s="11" t="s">
        <v>165</v>
      </c>
      <c r="D8" s="11" t="s">
        <v>166</v>
      </c>
      <c r="E8" s="14" t="n">
        <v>5</v>
      </c>
      <c r="F8" s="14" t="n">
        <v>1</v>
      </c>
      <c r="G8" s="14" t="n">
        <v>3</v>
      </c>
      <c r="H8" s="14" t="n">
        <v>2</v>
      </c>
      <c r="I8" s="12" t="n">
        <f aca="false">(2*E8+F8+G8)*H8</f>
        <v>28</v>
      </c>
      <c r="J8" s="12" t="str">
        <f aca="false">IF(OR(E8=5,I8&gt;=60),"A",IF(OR(E8=4,I8&gt;=30),"B","C"))</f>
        <v>A</v>
      </c>
      <c r="K8" s="11" t="s">
        <v>167</v>
      </c>
    </row>
    <row r="9" customFormat="false" ht="23.85" hidden="false" customHeight="false" outlineLevel="0" collapsed="false">
      <c r="A9" s="12" t="s">
        <v>168</v>
      </c>
      <c r="B9" s="11" t="s">
        <v>169</v>
      </c>
      <c r="C9" s="11" t="s">
        <v>170</v>
      </c>
      <c r="D9" s="11" t="s">
        <v>171</v>
      </c>
      <c r="E9" s="14" t="n">
        <v>5</v>
      </c>
      <c r="F9" s="14" t="n">
        <v>5</v>
      </c>
      <c r="G9" s="14" t="n">
        <v>4</v>
      </c>
      <c r="H9" s="14" t="n">
        <v>3</v>
      </c>
      <c r="I9" s="12" t="n">
        <f aca="false">(2*E9+F9+G9)*H9</f>
        <v>57</v>
      </c>
      <c r="J9" s="12" t="str">
        <f aca="false">IF(OR(E9=5,I9&gt;=60),"A",IF(OR(E9=4,I9&gt;=30),"B","C"))</f>
        <v>A</v>
      </c>
      <c r="K9" s="11" t="s">
        <v>172</v>
      </c>
    </row>
    <row r="10" customFormat="false" ht="23.85" hidden="false" customHeight="false" outlineLevel="0" collapsed="false">
      <c r="A10" s="12" t="s">
        <v>173</v>
      </c>
      <c r="B10" s="11" t="s">
        <v>174</v>
      </c>
      <c r="C10" s="11" t="s">
        <v>175</v>
      </c>
      <c r="D10" s="11" t="s">
        <v>176</v>
      </c>
      <c r="E10" s="14" t="n">
        <v>5</v>
      </c>
      <c r="F10" s="14" t="n">
        <v>5</v>
      </c>
      <c r="G10" s="14" t="n">
        <v>4</v>
      </c>
      <c r="H10" s="14" t="n">
        <v>2</v>
      </c>
      <c r="I10" s="12" t="n">
        <f aca="false">(2*E10+F10+G10)*H10</f>
        <v>38</v>
      </c>
      <c r="J10" s="12" t="str">
        <f aca="false">IF(OR(E10=5,I10&gt;=60),"A",IF(OR(E10=4,I10&gt;=30),"B","C"))</f>
        <v>A</v>
      </c>
      <c r="K10" s="11" t="s">
        <v>177</v>
      </c>
    </row>
    <row r="11" customFormat="false" ht="23.85" hidden="false" customHeight="false" outlineLevel="0" collapsed="false">
      <c r="A11" s="12" t="s">
        <v>178</v>
      </c>
      <c r="B11" s="11" t="s">
        <v>179</v>
      </c>
      <c r="C11" s="11" t="s">
        <v>180</v>
      </c>
      <c r="D11" s="11" t="s">
        <v>181</v>
      </c>
      <c r="E11" s="14" t="n">
        <v>5</v>
      </c>
      <c r="F11" s="14" t="n">
        <v>5</v>
      </c>
      <c r="G11" s="14" t="n">
        <v>3</v>
      </c>
      <c r="H11" s="14" t="n">
        <v>2</v>
      </c>
      <c r="I11" s="12" t="n">
        <f aca="false">(2*E11+F11+G11)*H11</f>
        <v>36</v>
      </c>
      <c r="J11" s="12" t="str">
        <f aca="false">IF(OR(E11=5,I11&gt;=60),"A",IF(OR(E11=4,I11&gt;=30),"B","C"))</f>
        <v>A</v>
      </c>
      <c r="K11" s="11" t="s">
        <v>182</v>
      </c>
    </row>
    <row r="12" customFormat="false" ht="23.85" hidden="false" customHeight="false" outlineLevel="0" collapsed="false">
      <c r="A12" s="12" t="s">
        <v>183</v>
      </c>
      <c r="B12" s="11" t="s">
        <v>184</v>
      </c>
      <c r="C12" s="11" t="s">
        <v>185</v>
      </c>
      <c r="D12" s="11" t="s">
        <v>186</v>
      </c>
      <c r="E12" s="14" t="n">
        <v>5</v>
      </c>
      <c r="F12" s="14" t="n">
        <v>4</v>
      </c>
      <c r="G12" s="14" t="n">
        <v>5</v>
      </c>
      <c r="H12" s="14" t="n">
        <v>3</v>
      </c>
      <c r="I12" s="12" t="n">
        <f aca="false">(2*E12+F12+G12)*H12</f>
        <v>57</v>
      </c>
      <c r="J12" s="12" t="str">
        <f aca="false">IF(OR(E12=5,I12&gt;=60),"A",IF(OR(E12=4,I12&gt;=30),"B","C"))</f>
        <v>A</v>
      </c>
      <c r="K12" s="11" t="s">
        <v>187</v>
      </c>
    </row>
    <row r="13" customFormat="false" ht="23.85" hidden="false" customHeight="false" outlineLevel="0" collapsed="false">
      <c r="A13" s="12" t="s">
        <v>188</v>
      </c>
      <c r="B13" s="11" t="s">
        <v>189</v>
      </c>
      <c r="C13" s="11" t="s">
        <v>190</v>
      </c>
      <c r="D13" s="11" t="s">
        <v>191</v>
      </c>
      <c r="E13" s="14" t="n">
        <v>4</v>
      </c>
      <c r="F13" s="14" t="n">
        <v>2</v>
      </c>
      <c r="G13" s="14" t="n">
        <v>5</v>
      </c>
      <c r="H13" s="14" t="n">
        <v>4</v>
      </c>
      <c r="I13" s="12" t="n">
        <f aca="false">(2*E13+F13+G13)*H13</f>
        <v>60</v>
      </c>
      <c r="J13" s="12" t="str">
        <f aca="false">IF(OR(E13=5,I13&gt;=60),"A",IF(OR(E13=4,I13&gt;=30),"B","C"))</f>
        <v>A</v>
      </c>
      <c r="K13" s="11" t="s">
        <v>192</v>
      </c>
    </row>
    <row r="14" customFormat="false" ht="23.85" hidden="false" customHeight="false" outlineLevel="0" collapsed="false">
      <c r="A14" s="12" t="s">
        <v>193</v>
      </c>
      <c r="B14" s="11" t="s">
        <v>194</v>
      </c>
      <c r="C14" s="11" t="s">
        <v>195</v>
      </c>
      <c r="D14" s="11" t="s">
        <v>196</v>
      </c>
      <c r="E14" s="14" t="n">
        <v>4</v>
      </c>
      <c r="F14" s="14" t="n">
        <v>1</v>
      </c>
      <c r="G14" s="14" t="n">
        <v>4</v>
      </c>
      <c r="H14" s="14" t="n">
        <v>3</v>
      </c>
      <c r="I14" s="12" t="n">
        <f aca="false">(2*E14+F14+G14)*H14</f>
        <v>39</v>
      </c>
      <c r="J14" s="12" t="str">
        <f aca="false">IF(OR(E14=5,I14&gt;=60),"A",IF(OR(E14=4,I14&gt;=30),"B","C"))</f>
        <v>B</v>
      </c>
      <c r="K14" s="11" t="s">
        <v>197</v>
      </c>
    </row>
    <row r="15" customFormat="false" ht="23.85" hidden="false" customHeight="false" outlineLevel="0" collapsed="false">
      <c r="A15" s="12" t="s">
        <v>198</v>
      </c>
      <c r="B15" s="11" t="s">
        <v>199</v>
      </c>
      <c r="C15" s="11" t="s">
        <v>200</v>
      </c>
      <c r="D15" s="11" t="s">
        <v>201</v>
      </c>
      <c r="E15" s="14" t="n">
        <v>4</v>
      </c>
      <c r="F15" s="14" t="n">
        <v>2</v>
      </c>
      <c r="G15" s="14" t="n">
        <v>4</v>
      </c>
      <c r="H15" s="14" t="n">
        <v>3</v>
      </c>
      <c r="I15" s="12" t="n">
        <f aca="false">(2*E15+F15+G15)*H15</f>
        <v>42</v>
      </c>
      <c r="J15" s="12" t="str">
        <f aca="false">IF(OR(E15=5,I15&gt;=60),"A",IF(OR(E15=4,I15&gt;=30),"B","C"))</f>
        <v>B</v>
      </c>
      <c r="K15" s="11" t="s">
        <v>202</v>
      </c>
    </row>
    <row r="16" customFormat="false" ht="15" hidden="false" customHeight="false" outlineLevel="0" collapsed="false">
      <c r="A16" s="12" t="s">
        <v>203</v>
      </c>
      <c r="B16" s="11" t="s">
        <v>204</v>
      </c>
      <c r="C16" s="11" t="s">
        <v>205</v>
      </c>
      <c r="D16" s="11" t="s">
        <v>206</v>
      </c>
      <c r="E16" s="14" t="n">
        <v>4</v>
      </c>
      <c r="F16" s="14" t="n">
        <v>2</v>
      </c>
      <c r="G16" s="14" t="n">
        <v>5</v>
      </c>
      <c r="H16" s="14" t="n">
        <v>3</v>
      </c>
      <c r="I16" s="12" t="n">
        <f aca="false">(2*E16+F16+G16)*H16</f>
        <v>45</v>
      </c>
      <c r="J16" s="12" t="str">
        <f aca="false">IF(OR(E16=5,I16&gt;=60),"A",IF(OR(E16=4,I16&gt;=30),"B","C"))</f>
        <v>B</v>
      </c>
      <c r="K16" s="11" t="s">
        <v>207</v>
      </c>
    </row>
    <row r="17" customFormat="false" ht="23.85" hidden="false" customHeight="false" outlineLevel="0" collapsed="false">
      <c r="A17" s="12" t="s">
        <v>208</v>
      </c>
      <c r="B17" s="11" t="s">
        <v>209</v>
      </c>
      <c r="C17" s="11" t="s">
        <v>210</v>
      </c>
      <c r="D17" s="11" t="s">
        <v>211</v>
      </c>
      <c r="E17" s="14" t="n">
        <v>4</v>
      </c>
      <c r="F17" s="14" t="n">
        <v>3</v>
      </c>
      <c r="G17" s="14" t="n">
        <v>3</v>
      </c>
      <c r="H17" s="14" t="n">
        <v>3</v>
      </c>
      <c r="I17" s="12" t="n">
        <f aca="false">(2*E17+F17+G17)*H17</f>
        <v>42</v>
      </c>
      <c r="J17" s="12" t="str">
        <f aca="false">IF(OR(E17=5,I17&gt;=60),"A",IF(OR(E17=4,I17&gt;=30),"B","C"))</f>
        <v>B</v>
      </c>
      <c r="K17" s="11" t="s">
        <v>212</v>
      </c>
    </row>
    <row r="18" customFormat="false" ht="23.85" hidden="false" customHeight="false" outlineLevel="0" collapsed="false">
      <c r="A18" s="12" t="s">
        <v>213</v>
      </c>
      <c r="B18" s="11" t="s">
        <v>214</v>
      </c>
      <c r="C18" s="11" t="s">
        <v>215</v>
      </c>
      <c r="D18" s="11" t="s">
        <v>216</v>
      </c>
      <c r="E18" s="14" t="n">
        <v>3</v>
      </c>
      <c r="F18" s="14" t="n">
        <v>3</v>
      </c>
      <c r="G18" s="14" t="n">
        <v>4</v>
      </c>
      <c r="H18" s="14" t="n">
        <v>4</v>
      </c>
      <c r="I18" s="12" t="n">
        <f aca="false">(2*E18+F18+G18)*H18</f>
        <v>52</v>
      </c>
      <c r="J18" s="12" t="str">
        <f aca="false">IF(OR(E18=5,I18&gt;=60),"A",IF(OR(E18=4,I18&gt;=30),"B","C"))</f>
        <v>B</v>
      </c>
      <c r="K18" s="11" t="s">
        <v>217</v>
      </c>
    </row>
    <row r="19" customFormat="false" ht="23.85" hidden="false" customHeight="false" outlineLevel="0" collapsed="false">
      <c r="A19" s="12" t="s">
        <v>218</v>
      </c>
      <c r="B19" s="11" t="s">
        <v>219</v>
      </c>
      <c r="C19" s="11" t="s">
        <v>220</v>
      </c>
      <c r="D19" s="11" t="s">
        <v>221</v>
      </c>
      <c r="E19" s="14" t="n">
        <v>2</v>
      </c>
      <c r="F19" s="14" t="n">
        <v>2</v>
      </c>
      <c r="G19" s="14" t="n">
        <v>5</v>
      </c>
      <c r="H19" s="14" t="n">
        <v>3</v>
      </c>
      <c r="I19" s="12" t="n">
        <f aca="false">(2*E19+F19+G19)*H19</f>
        <v>33</v>
      </c>
      <c r="J19" s="12" t="str">
        <f aca="false">IF(OR(E19=5,I19&gt;=60),"A",IF(OR(E19=4,I19&gt;=30),"B","C"))</f>
        <v>B</v>
      </c>
      <c r="K19" s="11" t="s">
        <v>222</v>
      </c>
    </row>
    <row r="20" customFormat="false" ht="23.85" hidden="false" customHeight="false" outlineLevel="0" collapsed="false">
      <c r="A20" s="12" t="s">
        <v>223</v>
      </c>
      <c r="B20" s="11" t="s">
        <v>41</v>
      </c>
      <c r="C20" s="11" t="s">
        <v>224</v>
      </c>
      <c r="D20" s="11" t="s">
        <v>221</v>
      </c>
      <c r="E20" s="14" t="n">
        <v>2</v>
      </c>
      <c r="F20" s="14" t="n">
        <v>1</v>
      </c>
      <c r="G20" s="14" t="n">
        <v>5</v>
      </c>
      <c r="H20" s="14" t="n">
        <v>2</v>
      </c>
      <c r="I20" s="12" t="n">
        <f aca="false">(2*E20+F20+G20)*H20</f>
        <v>20</v>
      </c>
      <c r="J20" s="12" t="str">
        <f aca="false">IF(OR(E20=5,I20&gt;=60),"A",IF(OR(E20=4,I20&gt;=30),"B","C"))</f>
        <v>C</v>
      </c>
      <c r="K20" s="11" t="s">
        <v>225</v>
      </c>
    </row>
    <row r="21" customFormat="false" ht="23.85" hidden="false" customHeight="false" outlineLevel="0" collapsed="false">
      <c r="A21" s="12" t="s">
        <v>226</v>
      </c>
      <c r="B21" s="11" t="s">
        <v>227</v>
      </c>
      <c r="C21" s="11" t="s">
        <v>228</v>
      </c>
      <c r="D21" s="11" t="s">
        <v>221</v>
      </c>
      <c r="E21" s="14" t="n">
        <v>3</v>
      </c>
      <c r="F21" s="14" t="n">
        <v>2</v>
      </c>
      <c r="G21" s="14" t="n">
        <v>5</v>
      </c>
      <c r="H21" s="14" t="n">
        <v>2</v>
      </c>
      <c r="I21" s="12" t="n">
        <f aca="false">(2*E21+F21+G21)*H21</f>
        <v>26</v>
      </c>
      <c r="J21" s="12" t="str">
        <f aca="false">IF(OR(E21=5,I21&gt;=60),"A",IF(OR(E21=4,I21&gt;=30),"B","C"))</f>
        <v>C</v>
      </c>
      <c r="K21" s="11" t="s">
        <v>229</v>
      </c>
    </row>
    <row r="22" customFormat="false" ht="15" hidden="false" customHeight="false" outlineLevel="0" collapsed="false">
      <c r="A22" s="12" t="s">
        <v>230</v>
      </c>
      <c r="B22" s="11" t="s">
        <v>231</v>
      </c>
      <c r="C22" s="11" t="s">
        <v>232</v>
      </c>
      <c r="D22" s="11" t="s">
        <v>233</v>
      </c>
      <c r="E22" s="14" t="n">
        <v>3</v>
      </c>
      <c r="F22" s="14" t="n">
        <v>1</v>
      </c>
      <c r="G22" s="14" t="n">
        <v>1</v>
      </c>
      <c r="H22" s="14" t="n">
        <v>2</v>
      </c>
      <c r="I22" s="12" t="n">
        <f aca="false">(2*E22+F22+G22)*H22</f>
        <v>16</v>
      </c>
      <c r="J22" s="12" t="str">
        <f aca="false">IF(OR(E22=5,I22&gt;=60),"A",IF(OR(E22=4,I22&gt;=30),"B","C"))</f>
        <v>C</v>
      </c>
      <c r="K22" s="11" t="s">
        <v>234</v>
      </c>
    </row>
    <row r="23" customFormat="false" ht="23.85" hidden="false" customHeight="false" outlineLevel="0" collapsed="false">
      <c r="A23" s="12" t="s">
        <v>235</v>
      </c>
      <c r="B23" s="11" t="s">
        <v>236</v>
      </c>
      <c r="C23" s="11" t="s">
        <v>237</v>
      </c>
      <c r="D23" s="11" t="s">
        <v>238</v>
      </c>
      <c r="E23" s="14" t="n">
        <v>4</v>
      </c>
      <c r="F23" s="14" t="n">
        <v>1</v>
      </c>
      <c r="G23" s="14" t="n">
        <v>1</v>
      </c>
      <c r="H23" s="14" t="n">
        <v>3</v>
      </c>
      <c r="I23" s="12" t="n">
        <f aca="false">(2*E23+F23+G23)*H23</f>
        <v>30</v>
      </c>
      <c r="J23" s="12" t="str">
        <f aca="false">IF(OR(E23=5,I23&gt;=60),"A",IF(OR(E23=4,I23&gt;=30),"B","C"))</f>
        <v>B</v>
      </c>
      <c r="K23" s="11" t="s">
        <v>239</v>
      </c>
    </row>
  </sheetData>
  <conditionalFormatting sqref="J6:J23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dataValidations count="1">
    <dataValidation allowBlank="false" error="Use nota de 1 a 5" errorStyle="stop" operator="between" showDropDown="false" showErrorMessage="true" showInputMessage="false" sqref="E6:H23" type="whole">
      <formula1>1</formula1>
      <formula2>5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5" min="4" style="0" width="7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62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2" t="s">
        <v>241</v>
      </c>
    </row>
    <row r="4" customFormat="false" ht="15" hidden="false" customHeight="false" outlineLevel="0" collapsed="false">
      <c r="A4" s="10" t="s">
        <v>242</v>
      </c>
      <c r="B4" s="10" t="s">
        <v>243</v>
      </c>
      <c r="C4" s="10" t="s">
        <v>244</v>
      </c>
      <c r="D4" s="10" t="s">
        <v>245</v>
      </c>
      <c r="E4" s="10" t="s">
        <v>151</v>
      </c>
      <c r="F4" s="10" t="s">
        <v>246</v>
      </c>
      <c r="G4" s="10" t="s">
        <v>247</v>
      </c>
      <c r="H4" s="10" t="s">
        <v>248</v>
      </c>
      <c r="I4" s="10" t="s">
        <v>249</v>
      </c>
      <c r="J4" s="10" t="s">
        <v>250</v>
      </c>
      <c r="K4" s="10" t="s">
        <v>251</v>
      </c>
      <c r="L4" s="10" t="s">
        <v>252</v>
      </c>
    </row>
    <row r="5" customFormat="false" ht="35.05" hidden="false" customHeight="false" outlineLevel="0" collapsed="false">
      <c r="A5" s="12" t="s">
        <v>253</v>
      </c>
      <c r="B5" s="11" t="s">
        <v>254</v>
      </c>
      <c r="C5" s="12" t="s">
        <v>255</v>
      </c>
      <c r="D5" s="12" t="s">
        <v>188</v>
      </c>
      <c r="E5" s="12" t="str">
        <f aca="false">INDEX(Criticidade!$J$6:$J$23,MATCH(D5,Criticidade!$A$6:$A$23,0))</f>
        <v>A</v>
      </c>
      <c r="F5" s="11" t="s">
        <v>32</v>
      </c>
      <c r="G5" s="11" t="s">
        <v>256</v>
      </c>
      <c r="H5" s="11" t="s">
        <v>257</v>
      </c>
      <c r="I5" s="12" t="s">
        <v>258</v>
      </c>
      <c r="J5" s="11" t="s">
        <v>259</v>
      </c>
      <c r="K5" s="11" t="s">
        <v>260</v>
      </c>
      <c r="L5" s="11" t="s">
        <v>261</v>
      </c>
    </row>
    <row r="6" customFormat="false" ht="23.85" hidden="false" customHeight="false" outlineLevel="0" collapsed="false">
      <c r="A6" s="12" t="s">
        <v>262</v>
      </c>
      <c r="B6" s="11" t="s">
        <v>254</v>
      </c>
      <c r="C6" s="12" t="s">
        <v>255</v>
      </c>
      <c r="D6" s="12" t="s">
        <v>188</v>
      </c>
      <c r="E6" s="12" t="str">
        <f aca="false">INDEX(Criticidade!$J$6:$J$23,MATCH(D6,Criticidade!$A$6:$A$23,0))</f>
        <v>A</v>
      </c>
      <c r="F6" s="11" t="s">
        <v>32</v>
      </c>
      <c r="G6" s="11" t="s">
        <v>263</v>
      </c>
      <c r="H6" s="11" t="s">
        <v>264</v>
      </c>
      <c r="I6" s="12" t="s">
        <v>258</v>
      </c>
      <c r="J6" s="11" t="s">
        <v>259</v>
      </c>
      <c r="K6" s="11" t="s">
        <v>260</v>
      </c>
      <c r="L6" s="11" t="s">
        <v>265</v>
      </c>
    </row>
    <row r="7" customFormat="false" ht="23.85" hidden="false" customHeight="false" outlineLevel="0" collapsed="false">
      <c r="A7" s="12" t="s">
        <v>266</v>
      </c>
      <c r="B7" s="11" t="s">
        <v>254</v>
      </c>
      <c r="C7" s="12" t="s">
        <v>255</v>
      </c>
      <c r="D7" s="12" t="s">
        <v>188</v>
      </c>
      <c r="E7" s="12" t="str">
        <f aca="false">INDEX(Criticidade!$J$6:$J$23,MATCH(D7,Criticidade!$A$6:$A$23,0))</f>
        <v>A</v>
      </c>
      <c r="F7" s="11" t="s">
        <v>32</v>
      </c>
      <c r="G7" s="11" t="s">
        <v>267</v>
      </c>
      <c r="H7" s="11" t="s">
        <v>268</v>
      </c>
      <c r="I7" s="12" t="s">
        <v>258</v>
      </c>
      <c r="J7" s="11" t="s">
        <v>259</v>
      </c>
      <c r="K7" s="11" t="s">
        <v>260</v>
      </c>
      <c r="L7" s="11" t="s">
        <v>269</v>
      </c>
    </row>
    <row r="8" customFormat="false" ht="23.85" hidden="false" customHeight="false" outlineLevel="0" collapsed="false">
      <c r="A8" s="12" t="s">
        <v>270</v>
      </c>
      <c r="B8" s="11" t="s">
        <v>254</v>
      </c>
      <c r="C8" s="12" t="s">
        <v>255</v>
      </c>
      <c r="D8" s="12" t="s">
        <v>168</v>
      </c>
      <c r="E8" s="12" t="str">
        <f aca="false">INDEX(Criticidade!$J$6:$J$23,MATCH(D8,Criticidade!$A$6:$A$23,0))</f>
        <v>A</v>
      </c>
      <c r="F8" s="11" t="s">
        <v>129</v>
      </c>
      <c r="G8" s="11" t="s">
        <v>271</v>
      </c>
      <c r="H8" s="11" t="s">
        <v>272</v>
      </c>
      <c r="I8" s="12" t="s">
        <v>258</v>
      </c>
      <c r="J8" s="11" t="s">
        <v>259</v>
      </c>
      <c r="K8" s="11" t="s">
        <v>273</v>
      </c>
      <c r="L8" s="11" t="s">
        <v>274</v>
      </c>
    </row>
    <row r="9" customFormat="false" ht="23.85" hidden="false" customHeight="false" outlineLevel="0" collapsed="false">
      <c r="A9" s="12" t="s">
        <v>275</v>
      </c>
      <c r="B9" s="11" t="s">
        <v>254</v>
      </c>
      <c r="C9" s="12" t="s">
        <v>255</v>
      </c>
      <c r="D9" s="12" t="s">
        <v>168</v>
      </c>
      <c r="E9" s="12" t="str">
        <f aca="false">INDEX(Criticidade!$J$6:$J$23,MATCH(D9,Criticidade!$A$6:$A$23,0))</f>
        <v>A</v>
      </c>
      <c r="F9" s="11" t="s">
        <v>129</v>
      </c>
      <c r="G9" s="11" t="s">
        <v>276</v>
      </c>
      <c r="H9" s="11" t="s">
        <v>277</v>
      </c>
      <c r="I9" s="12" t="s">
        <v>258</v>
      </c>
      <c r="J9" s="11" t="s">
        <v>259</v>
      </c>
      <c r="K9" s="11" t="s">
        <v>273</v>
      </c>
      <c r="L9" s="11" t="s">
        <v>278</v>
      </c>
    </row>
    <row r="10" customFormat="false" ht="35.05" hidden="false" customHeight="false" outlineLevel="0" collapsed="false">
      <c r="A10" s="12" t="s">
        <v>279</v>
      </c>
      <c r="B10" s="11" t="s">
        <v>254</v>
      </c>
      <c r="C10" s="12" t="s">
        <v>255</v>
      </c>
      <c r="D10" s="12" t="s">
        <v>153</v>
      </c>
      <c r="E10" s="12" t="str">
        <f aca="false">INDEX(Criticidade!$J$6:$J$23,MATCH(D10,Criticidade!$A$6:$A$23,0))</f>
        <v>A</v>
      </c>
      <c r="F10" s="11" t="s">
        <v>111</v>
      </c>
      <c r="G10" s="11" t="s">
        <v>280</v>
      </c>
      <c r="H10" s="11" t="s">
        <v>281</v>
      </c>
      <c r="I10" s="12" t="s">
        <v>258</v>
      </c>
      <c r="J10" s="11" t="s">
        <v>259</v>
      </c>
      <c r="K10" s="11" t="s">
        <v>260</v>
      </c>
      <c r="L10" s="11" t="s">
        <v>282</v>
      </c>
    </row>
    <row r="11" customFormat="false" ht="35.05" hidden="false" customHeight="false" outlineLevel="0" collapsed="false">
      <c r="A11" s="12" t="s">
        <v>283</v>
      </c>
      <c r="B11" s="11" t="s">
        <v>254</v>
      </c>
      <c r="C11" s="12" t="s">
        <v>255</v>
      </c>
      <c r="D11" s="12" t="s">
        <v>158</v>
      </c>
      <c r="E11" s="12" t="str">
        <f aca="false">INDEX(Criticidade!$J$6:$J$23,MATCH(D11,Criticidade!$A$6:$A$23,0))</f>
        <v>A</v>
      </c>
      <c r="F11" s="11" t="s">
        <v>284</v>
      </c>
      <c r="G11" s="11" t="s">
        <v>285</v>
      </c>
      <c r="H11" s="11" t="s">
        <v>286</v>
      </c>
      <c r="I11" s="12" t="s">
        <v>258</v>
      </c>
      <c r="J11" s="11" t="s">
        <v>259</v>
      </c>
      <c r="K11" s="11" t="s">
        <v>260</v>
      </c>
      <c r="L11" s="11" t="s">
        <v>287</v>
      </c>
    </row>
    <row r="12" customFormat="false" ht="23.85" hidden="false" customHeight="false" outlineLevel="0" collapsed="false">
      <c r="A12" s="12" t="s">
        <v>288</v>
      </c>
      <c r="B12" s="11" t="s">
        <v>254</v>
      </c>
      <c r="C12" s="12" t="s">
        <v>255</v>
      </c>
      <c r="D12" s="12" t="s">
        <v>163</v>
      </c>
      <c r="E12" s="12" t="str">
        <f aca="false">INDEX(Criticidade!$J$6:$J$23,MATCH(D12,Criticidade!$A$6:$A$23,0))</f>
        <v>A</v>
      </c>
      <c r="F12" s="11" t="s">
        <v>284</v>
      </c>
      <c r="G12" s="11" t="s">
        <v>289</v>
      </c>
      <c r="H12" s="11" t="s">
        <v>290</v>
      </c>
      <c r="I12" s="12" t="s">
        <v>258</v>
      </c>
      <c r="J12" s="11" t="s">
        <v>259</v>
      </c>
      <c r="K12" s="11" t="s">
        <v>260</v>
      </c>
      <c r="L12" s="11" t="s">
        <v>291</v>
      </c>
    </row>
    <row r="13" customFormat="false" ht="35.05" hidden="false" customHeight="false" outlineLevel="0" collapsed="false">
      <c r="A13" s="12" t="s">
        <v>292</v>
      </c>
      <c r="B13" s="11" t="s">
        <v>254</v>
      </c>
      <c r="C13" s="12" t="s">
        <v>255</v>
      </c>
      <c r="D13" s="12" t="s">
        <v>183</v>
      </c>
      <c r="E13" s="12" t="str">
        <f aca="false">INDEX(Criticidade!$J$6:$J$23,MATCH(D13,Criticidade!$A$6:$A$23,0))</f>
        <v>A</v>
      </c>
      <c r="F13" s="11" t="s">
        <v>293</v>
      </c>
      <c r="G13" s="11" t="s">
        <v>294</v>
      </c>
      <c r="H13" s="11" t="s">
        <v>295</v>
      </c>
      <c r="I13" s="12" t="s">
        <v>258</v>
      </c>
      <c r="J13" s="11" t="s">
        <v>259</v>
      </c>
      <c r="K13" s="11" t="s">
        <v>260</v>
      </c>
      <c r="L13" s="11" t="s">
        <v>296</v>
      </c>
    </row>
    <row r="14" customFormat="false" ht="23.85" hidden="false" customHeight="false" outlineLevel="0" collapsed="false">
      <c r="A14" s="12" t="s">
        <v>297</v>
      </c>
      <c r="B14" s="11" t="s">
        <v>254</v>
      </c>
      <c r="C14" s="12" t="s">
        <v>255</v>
      </c>
      <c r="D14" s="12" t="s">
        <v>173</v>
      </c>
      <c r="E14" s="12" t="str">
        <f aca="false">INDEX(Criticidade!$J$6:$J$23,MATCH(D14,Criticidade!$A$6:$A$23,0))</f>
        <v>A</v>
      </c>
      <c r="F14" s="11" t="s">
        <v>298</v>
      </c>
      <c r="G14" s="11" t="s">
        <v>299</v>
      </c>
      <c r="H14" s="11" t="s">
        <v>300</v>
      </c>
      <c r="I14" s="12" t="s">
        <v>258</v>
      </c>
      <c r="J14" s="11" t="s">
        <v>259</v>
      </c>
      <c r="K14" s="11" t="s">
        <v>273</v>
      </c>
      <c r="L14" s="11" t="s">
        <v>301</v>
      </c>
    </row>
    <row r="15" customFormat="false" ht="23.85" hidden="false" customHeight="false" outlineLevel="0" collapsed="false">
      <c r="A15" s="12" t="s">
        <v>302</v>
      </c>
      <c r="B15" s="11" t="s">
        <v>254</v>
      </c>
      <c r="C15" s="12" t="s">
        <v>255</v>
      </c>
      <c r="D15" s="12" t="s">
        <v>178</v>
      </c>
      <c r="E15" s="12" t="str">
        <f aca="false">INDEX(Criticidade!$J$6:$J$23,MATCH(D15,Criticidade!$A$6:$A$23,0))</f>
        <v>A</v>
      </c>
      <c r="F15" s="11" t="s">
        <v>179</v>
      </c>
      <c r="G15" s="11" t="s">
        <v>179</v>
      </c>
      <c r="H15" s="11" t="s">
        <v>303</v>
      </c>
      <c r="I15" s="12" t="s">
        <v>258</v>
      </c>
      <c r="J15" s="11" t="s">
        <v>259</v>
      </c>
      <c r="K15" s="11" t="s">
        <v>273</v>
      </c>
      <c r="L15" s="11" t="s">
        <v>304</v>
      </c>
    </row>
    <row r="16" customFormat="false" ht="35.05" hidden="false" customHeight="false" outlineLevel="0" collapsed="false">
      <c r="A16" s="12" t="s">
        <v>305</v>
      </c>
      <c r="B16" s="11" t="s">
        <v>254</v>
      </c>
      <c r="C16" s="12" t="s">
        <v>255</v>
      </c>
      <c r="D16" s="12" t="s">
        <v>198</v>
      </c>
      <c r="E16" s="12" t="str">
        <f aca="false">INDEX(Criticidade!$J$6:$J$23,MATCH(D16,Criticidade!$A$6:$A$23,0))</f>
        <v>B</v>
      </c>
      <c r="F16" s="11" t="s">
        <v>306</v>
      </c>
      <c r="G16" s="11" t="s">
        <v>307</v>
      </c>
      <c r="H16" s="11" t="s">
        <v>308</v>
      </c>
      <c r="I16" s="12" t="s">
        <v>258</v>
      </c>
      <c r="J16" s="11" t="s">
        <v>259</v>
      </c>
      <c r="K16" s="11" t="s">
        <v>260</v>
      </c>
      <c r="L16" s="11" t="s">
        <v>309</v>
      </c>
    </row>
    <row r="17" customFormat="false" ht="23.85" hidden="false" customHeight="false" outlineLevel="0" collapsed="false">
      <c r="A17" s="12" t="s">
        <v>310</v>
      </c>
      <c r="B17" s="11" t="s">
        <v>254</v>
      </c>
      <c r="C17" s="12" t="s">
        <v>255</v>
      </c>
      <c r="D17" s="12" t="s">
        <v>208</v>
      </c>
      <c r="E17" s="12" t="str">
        <f aca="false">INDEX(Criticidade!$J$6:$J$23,MATCH(D17,Criticidade!$A$6:$A$23,0))</f>
        <v>B</v>
      </c>
      <c r="F17" s="11" t="s">
        <v>311</v>
      </c>
      <c r="G17" s="11" t="s">
        <v>312</v>
      </c>
      <c r="H17" s="11" t="s">
        <v>313</v>
      </c>
      <c r="I17" s="12" t="s">
        <v>258</v>
      </c>
      <c r="J17" s="11" t="s">
        <v>259</v>
      </c>
      <c r="K17" s="11" t="s">
        <v>260</v>
      </c>
      <c r="L17" s="11" t="s">
        <v>314</v>
      </c>
    </row>
    <row r="18" customFormat="false" ht="35.05" hidden="false" customHeight="false" outlineLevel="0" collapsed="false">
      <c r="A18" s="12" t="s">
        <v>315</v>
      </c>
      <c r="B18" s="11" t="s">
        <v>254</v>
      </c>
      <c r="C18" s="12" t="s">
        <v>255</v>
      </c>
      <c r="D18" s="12" t="s">
        <v>213</v>
      </c>
      <c r="E18" s="12" t="str">
        <f aca="false">INDEX(Criticidade!$J$6:$J$23,MATCH(D18,Criticidade!$A$6:$A$23,0))</f>
        <v>B</v>
      </c>
      <c r="F18" s="11" t="s">
        <v>120</v>
      </c>
      <c r="G18" s="11" t="s">
        <v>120</v>
      </c>
      <c r="H18" s="11" t="s">
        <v>316</v>
      </c>
      <c r="I18" s="12" t="s">
        <v>258</v>
      </c>
      <c r="J18" s="11" t="s">
        <v>259</v>
      </c>
      <c r="K18" s="11" t="s">
        <v>260</v>
      </c>
      <c r="L18" s="11" t="s">
        <v>317</v>
      </c>
    </row>
    <row r="19" customFormat="false" ht="23.85" hidden="false" customHeight="false" outlineLevel="0" collapsed="false">
      <c r="A19" s="12" t="s">
        <v>318</v>
      </c>
      <c r="B19" s="11" t="s">
        <v>254</v>
      </c>
      <c r="C19" s="12" t="s">
        <v>255</v>
      </c>
      <c r="D19" s="12" t="s">
        <v>235</v>
      </c>
      <c r="E19" s="12" t="str">
        <f aca="false">INDEX(Criticidade!$J$6:$J$23,MATCH(D19,Criticidade!$A$6:$A$23,0))</f>
        <v>B</v>
      </c>
      <c r="F19" s="11" t="s">
        <v>284</v>
      </c>
      <c r="G19" s="11" t="s">
        <v>319</v>
      </c>
      <c r="H19" s="11" t="s">
        <v>320</v>
      </c>
      <c r="I19" s="12" t="s">
        <v>258</v>
      </c>
      <c r="J19" s="11" t="s">
        <v>259</v>
      </c>
      <c r="K19" s="11" t="s">
        <v>260</v>
      </c>
      <c r="L19" s="11" t="s">
        <v>321</v>
      </c>
    </row>
    <row r="20" customFormat="false" ht="23.85" hidden="false" customHeight="false" outlineLevel="0" collapsed="false">
      <c r="A20" s="12" t="s">
        <v>322</v>
      </c>
      <c r="B20" s="11" t="s">
        <v>254</v>
      </c>
      <c r="C20" s="12" t="s">
        <v>255</v>
      </c>
      <c r="D20" s="12" t="s">
        <v>226</v>
      </c>
      <c r="E20" s="12" t="str">
        <f aca="false">INDEX(Criticidade!$J$6:$J$23,MATCH(D20,Criticidade!$A$6:$A$23,0))</f>
        <v>C</v>
      </c>
      <c r="F20" s="11" t="s">
        <v>323</v>
      </c>
      <c r="G20" s="11" t="s">
        <v>324</v>
      </c>
      <c r="H20" s="11" t="s">
        <v>325</v>
      </c>
      <c r="I20" s="12" t="s">
        <v>258</v>
      </c>
      <c r="J20" s="11" t="s">
        <v>259</v>
      </c>
      <c r="K20" s="11" t="s">
        <v>260</v>
      </c>
      <c r="L20" s="11" t="s">
        <v>326</v>
      </c>
    </row>
    <row r="21" customFormat="false" ht="23.85" hidden="false" customHeight="false" outlineLevel="0" collapsed="false">
      <c r="A21" s="12" t="s">
        <v>327</v>
      </c>
      <c r="B21" s="11" t="s">
        <v>254</v>
      </c>
      <c r="C21" s="12" t="s">
        <v>255</v>
      </c>
      <c r="D21" s="12" t="s">
        <v>230</v>
      </c>
      <c r="E21" s="12" t="str">
        <f aca="false">INDEX(Criticidade!$J$6:$J$23,MATCH(D21,Criticidade!$A$6:$A$23,0))</f>
        <v>C</v>
      </c>
      <c r="F21" s="11" t="s">
        <v>284</v>
      </c>
      <c r="G21" s="11" t="s">
        <v>231</v>
      </c>
      <c r="H21" s="11" t="s">
        <v>328</v>
      </c>
      <c r="I21" s="12" t="s">
        <v>258</v>
      </c>
      <c r="J21" s="11" t="s">
        <v>259</v>
      </c>
      <c r="K21" s="11" t="s">
        <v>260</v>
      </c>
      <c r="L21" s="11" t="s">
        <v>329</v>
      </c>
    </row>
    <row r="22" customFormat="false" ht="46.25" hidden="false" customHeight="false" outlineLevel="0" collapsed="false">
      <c r="A22" s="12" t="s">
        <v>330</v>
      </c>
      <c r="B22" s="11" t="s">
        <v>331</v>
      </c>
      <c r="C22" s="12" t="s">
        <v>332</v>
      </c>
      <c r="D22" s="12" t="s">
        <v>188</v>
      </c>
      <c r="E22" s="12" t="str">
        <f aca="false">INDEX(Criticidade!$J$6:$J$23,MATCH(D22,Criticidade!$A$6:$A$23,0))</f>
        <v>A</v>
      </c>
      <c r="F22" s="11" t="s">
        <v>32</v>
      </c>
      <c r="G22" s="11" t="s">
        <v>333</v>
      </c>
      <c r="H22" s="11" t="s">
        <v>334</v>
      </c>
      <c r="I22" s="12" t="s">
        <v>258</v>
      </c>
      <c r="J22" s="11" t="s">
        <v>335</v>
      </c>
      <c r="K22" s="11" t="s">
        <v>336</v>
      </c>
      <c r="L22" s="11" t="s">
        <v>337</v>
      </c>
    </row>
    <row r="23" customFormat="false" ht="23.85" hidden="false" customHeight="false" outlineLevel="0" collapsed="false">
      <c r="A23" s="12" t="s">
        <v>338</v>
      </c>
      <c r="B23" s="11" t="s">
        <v>331</v>
      </c>
      <c r="C23" s="12" t="s">
        <v>332</v>
      </c>
      <c r="D23" s="12" t="s">
        <v>168</v>
      </c>
      <c r="E23" s="12" t="str">
        <f aca="false">INDEX(Criticidade!$J$6:$J$23,MATCH(D23,Criticidade!$A$6:$A$23,0))</f>
        <v>A</v>
      </c>
      <c r="F23" s="11" t="s">
        <v>339</v>
      </c>
      <c r="G23" s="11" t="s">
        <v>340</v>
      </c>
      <c r="H23" s="11" t="s">
        <v>341</v>
      </c>
      <c r="I23" s="12" t="s">
        <v>258</v>
      </c>
      <c r="J23" s="11" t="s">
        <v>259</v>
      </c>
      <c r="K23" s="11" t="s">
        <v>260</v>
      </c>
      <c r="L23" s="11" t="s">
        <v>342</v>
      </c>
    </row>
    <row r="24" customFormat="false" ht="23.85" hidden="false" customHeight="false" outlineLevel="0" collapsed="false">
      <c r="A24" s="12" t="s">
        <v>343</v>
      </c>
      <c r="B24" s="11" t="s">
        <v>331</v>
      </c>
      <c r="C24" s="12" t="s">
        <v>332</v>
      </c>
      <c r="D24" s="12" t="s">
        <v>203</v>
      </c>
      <c r="E24" s="12" t="str">
        <f aca="false">INDEX(Criticidade!$J$6:$J$23,MATCH(D24,Criticidade!$A$6:$A$23,0))</f>
        <v>B</v>
      </c>
      <c r="F24" s="11" t="s">
        <v>339</v>
      </c>
      <c r="G24" s="11" t="s">
        <v>344</v>
      </c>
      <c r="H24" s="11" t="s">
        <v>345</v>
      </c>
      <c r="I24" s="12" t="s">
        <v>258</v>
      </c>
      <c r="J24" s="11" t="s">
        <v>259</v>
      </c>
      <c r="K24" s="11" t="s">
        <v>346</v>
      </c>
      <c r="L24" s="11" t="s">
        <v>347</v>
      </c>
    </row>
    <row r="25" customFormat="false" ht="23.85" hidden="false" customHeight="false" outlineLevel="0" collapsed="false">
      <c r="A25" s="12" t="s">
        <v>348</v>
      </c>
      <c r="B25" s="11" t="s">
        <v>331</v>
      </c>
      <c r="C25" s="12" t="s">
        <v>332</v>
      </c>
      <c r="D25" s="12" t="s">
        <v>208</v>
      </c>
      <c r="E25" s="12" t="str">
        <f aca="false">INDEX(Criticidade!$J$6:$J$23,MATCH(D25,Criticidade!$A$6:$A$23,0))</f>
        <v>B</v>
      </c>
      <c r="F25" s="11" t="s">
        <v>339</v>
      </c>
      <c r="G25" s="11" t="s">
        <v>349</v>
      </c>
      <c r="H25" s="11" t="s">
        <v>350</v>
      </c>
      <c r="I25" s="12" t="s">
        <v>258</v>
      </c>
      <c r="J25" s="11" t="s">
        <v>260</v>
      </c>
      <c r="K25" s="11" t="s">
        <v>351</v>
      </c>
      <c r="L25" s="11" t="s">
        <v>352</v>
      </c>
    </row>
    <row r="26" customFormat="false" ht="35.05" hidden="false" customHeight="false" outlineLevel="0" collapsed="false">
      <c r="A26" s="12" t="s">
        <v>353</v>
      </c>
      <c r="B26" s="11" t="s">
        <v>354</v>
      </c>
      <c r="C26" s="12" t="s">
        <v>355</v>
      </c>
      <c r="D26" s="12" t="s">
        <v>153</v>
      </c>
      <c r="E26" s="12" t="str">
        <f aca="false">INDEX(Criticidade!$J$6:$J$23,MATCH(D26,Criticidade!$A$6:$A$23,0))</f>
        <v>A</v>
      </c>
      <c r="F26" s="11" t="s">
        <v>111</v>
      </c>
      <c r="G26" s="11" t="s">
        <v>356</v>
      </c>
      <c r="H26" s="11" t="s">
        <v>357</v>
      </c>
      <c r="I26" s="12" t="s">
        <v>358</v>
      </c>
      <c r="J26" s="11" t="s">
        <v>359</v>
      </c>
      <c r="K26" s="11" t="s">
        <v>360</v>
      </c>
      <c r="L26" s="11" t="s">
        <v>361</v>
      </c>
    </row>
    <row r="27" customFormat="false" ht="23.85" hidden="false" customHeight="false" outlineLevel="0" collapsed="false">
      <c r="A27" s="12" t="s">
        <v>362</v>
      </c>
      <c r="B27" s="11" t="s">
        <v>354</v>
      </c>
      <c r="C27" s="12" t="s">
        <v>355</v>
      </c>
      <c r="D27" s="12" t="s">
        <v>153</v>
      </c>
      <c r="E27" s="12" t="str">
        <f aca="false">INDEX(Criticidade!$J$6:$J$23,MATCH(D27,Criticidade!$A$6:$A$23,0))</f>
        <v>A</v>
      </c>
      <c r="F27" s="11" t="s">
        <v>111</v>
      </c>
      <c r="G27" s="11" t="s">
        <v>363</v>
      </c>
      <c r="H27" s="11" t="s">
        <v>364</v>
      </c>
      <c r="I27" s="12" t="s">
        <v>365</v>
      </c>
      <c r="J27" s="11" t="s">
        <v>359</v>
      </c>
      <c r="K27" s="11" t="s">
        <v>366</v>
      </c>
      <c r="L27" s="11" t="s">
        <v>367</v>
      </c>
    </row>
    <row r="28" customFormat="false" ht="46.25" hidden="false" customHeight="false" outlineLevel="0" collapsed="false">
      <c r="A28" s="12" t="s">
        <v>368</v>
      </c>
      <c r="B28" s="11" t="s">
        <v>354</v>
      </c>
      <c r="C28" s="12" t="s">
        <v>355</v>
      </c>
      <c r="D28" s="12" t="s">
        <v>188</v>
      </c>
      <c r="E28" s="12" t="str">
        <f aca="false">INDEX(Criticidade!$J$6:$J$23,MATCH(D28,Criticidade!$A$6:$A$23,0))</f>
        <v>A</v>
      </c>
      <c r="F28" s="11" t="s">
        <v>32</v>
      </c>
      <c r="G28" s="11" t="s">
        <v>369</v>
      </c>
      <c r="H28" s="11" t="s">
        <v>370</v>
      </c>
      <c r="I28" s="12" t="s">
        <v>365</v>
      </c>
      <c r="J28" s="11" t="s">
        <v>335</v>
      </c>
      <c r="K28" s="11" t="s">
        <v>371</v>
      </c>
      <c r="L28" s="11" t="s">
        <v>372</v>
      </c>
    </row>
    <row r="29" customFormat="false" ht="46.25" hidden="false" customHeight="false" outlineLevel="0" collapsed="false">
      <c r="A29" s="12" t="s">
        <v>373</v>
      </c>
      <c r="B29" s="11" t="s">
        <v>354</v>
      </c>
      <c r="C29" s="12" t="s">
        <v>355</v>
      </c>
      <c r="D29" s="12" t="s">
        <v>188</v>
      </c>
      <c r="E29" s="12" t="str">
        <f aca="false">INDEX(Criticidade!$J$6:$J$23,MATCH(D29,Criticidade!$A$6:$A$23,0))</f>
        <v>A</v>
      </c>
      <c r="F29" s="11" t="s">
        <v>32</v>
      </c>
      <c r="G29" s="11" t="s">
        <v>374</v>
      </c>
      <c r="H29" s="11" t="s">
        <v>375</v>
      </c>
      <c r="I29" s="12" t="s">
        <v>365</v>
      </c>
      <c r="J29" s="11" t="s">
        <v>335</v>
      </c>
      <c r="K29" s="11" t="s">
        <v>376</v>
      </c>
      <c r="L29" s="11" t="s">
        <v>377</v>
      </c>
    </row>
    <row r="30" customFormat="false" ht="46.25" hidden="false" customHeight="false" outlineLevel="0" collapsed="false">
      <c r="A30" s="12" t="s">
        <v>378</v>
      </c>
      <c r="B30" s="11" t="s">
        <v>354</v>
      </c>
      <c r="C30" s="12" t="s">
        <v>355</v>
      </c>
      <c r="D30" s="12" t="s">
        <v>188</v>
      </c>
      <c r="E30" s="12" t="str">
        <f aca="false">INDEX(Criticidade!$J$6:$J$23,MATCH(D30,Criticidade!$A$6:$A$23,0))</f>
        <v>A</v>
      </c>
      <c r="F30" s="11" t="s">
        <v>32</v>
      </c>
      <c r="G30" s="11" t="s">
        <v>379</v>
      </c>
      <c r="H30" s="11" t="s">
        <v>380</v>
      </c>
      <c r="I30" s="12" t="s">
        <v>365</v>
      </c>
      <c r="J30" s="11" t="s">
        <v>335</v>
      </c>
      <c r="K30" s="11" t="s">
        <v>381</v>
      </c>
      <c r="L30" s="11" t="s">
        <v>382</v>
      </c>
    </row>
    <row r="31" customFormat="false" ht="23.85" hidden="false" customHeight="false" outlineLevel="0" collapsed="false">
      <c r="A31" s="12" t="s">
        <v>383</v>
      </c>
      <c r="B31" s="11" t="s">
        <v>354</v>
      </c>
      <c r="C31" s="12" t="s">
        <v>355</v>
      </c>
      <c r="D31" s="12" t="s">
        <v>183</v>
      </c>
      <c r="E31" s="12" t="str">
        <f aca="false">INDEX(Criticidade!$J$6:$J$23,MATCH(D31,Criticidade!$A$6:$A$23,0))</f>
        <v>A</v>
      </c>
      <c r="F31" s="11" t="s">
        <v>384</v>
      </c>
      <c r="G31" s="11" t="s">
        <v>385</v>
      </c>
      <c r="H31" s="11" t="s">
        <v>386</v>
      </c>
      <c r="I31" s="12" t="s">
        <v>358</v>
      </c>
      <c r="J31" s="11" t="s">
        <v>359</v>
      </c>
      <c r="K31" s="11" t="s">
        <v>387</v>
      </c>
      <c r="L31" s="11" t="s">
        <v>388</v>
      </c>
    </row>
    <row r="32" customFormat="false" ht="23.85" hidden="false" customHeight="false" outlineLevel="0" collapsed="false">
      <c r="A32" s="12" t="s">
        <v>389</v>
      </c>
      <c r="B32" s="11" t="s">
        <v>354</v>
      </c>
      <c r="C32" s="12" t="s">
        <v>355</v>
      </c>
      <c r="D32" s="12" t="s">
        <v>198</v>
      </c>
      <c r="E32" s="12" t="str">
        <f aca="false">INDEX(Criticidade!$J$6:$J$23,MATCH(D32,Criticidade!$A$6:$A$23,0))</f>
        <v>B</v>
      </c>
      <c r="F32" s="11" t="s">
        <v>306</v>
      </c>
      <c r="G32" s="11" t="s">
        <v>390</v>
      </c>
      <c r="H32" s="11" t="s">
        <v>391</v>
      </c>
      <c r="I32" s="12" t="s">
        <v>365</v>
      </c>
      <c r="J32" s="11" t="s">
        <v>259</v>
      </c>
      <c r="K32" s="11" t="s">
        <v>260</v>
      </c>
      <c r="L32" s="11" t="s">
        <v>392</v>
      </c>
    </row>
    <row r="33" customFormat="false" ht="23.85" hidden="false" customHeight="false" outlineLevel="0" collapsed="false">
      <c r="A33" s="12" t="s">
        <v>393</v>
      </c>
      <c r="B33" s="11" t="s">
        <v>354</v>
      </c>
      <c r="C33" s="12" t="s">
        <v>355</v>
      </c>
      <c r="D33" s="12" t="s">
        <v>208</v>
      </c>
      <c r="E33" s="12" t="str">
        <f aca="false">INDEX(Criticidade!$J$6:$J$23,MATCH(D33,Criticidade!$A$6:$A$23,0))</f>
        <v>B</v>
      </c>
      <c r="F33" s="11" t="s">
        <v>311</v>
      </c>
      <c r="G33" s="11" t="s">
        <v>394</v>
      </c>
      <c r="H33" s="11" t="s">
        <v>395</v>
      </c>
      <c r="I33" s="12" t="s">
        <v>365</v>
      </c>
      <c r="J33" s="11" t="s">
        <v>359</v>
      </c>
      <c r="K33" s="11" t="s">
        <v>396</v>
      </c>
      <c r="L33" s="11" t="s">
        <v>397</v>
      </c>
    </row>
    <row r="34" customFormat="false" ht="23.85" hidden="false" customHeight="false" outlineLevel="0" collapsed="false">
      <c r="A34" s="12" t="s">
        <v>398</v>
      </c>
      <c r="B34" s="11" t="s">
        <v>354</v>
      </c>
      <c r="C34" s="12" t="s">
        <v>355</v>
      </c>
      <c r="D34" s="12" t="s">
        <v>213</v>
      </c>
      <c r="E34" s="12" t="str">
        <f aca="false">INDEX(Criticidade!$J$6:$J$23,MATCH(D34,Criticidade!$A$6:$A$23,0))</f>
        <v>B</v>
      </c>
      <c r="F34" s="11" t="s">
        <v>120</v>
      </c>
      <c r="G34" s="11" t="s">
        <v>399</v>
      </c>
      <c r="H34" s="11" t="s">
        <v>400</v>
      </c>
      <c r="I34" s="12" t="s">
        <v>365</v>
      </c>
      <c r="J34" s="11" t="s">
        <v>359</v>
      </c>
      <c r="K34" s="11" t="s">
        <v>401</v>
      </c>
      <c r="L34" s="11" t="s">
        <v>402</v>
      </c>
    </row>
    <row r="35" customFormat="false" ht="23.85" hidden="false" customHeight="false" outlineLevel="0" collapsed="false">
      <c r="A35" s="12" t="s">
        <v>403</v>
      </c>
      <c r="B35" s="11" t="s">
        <v>404</v>
      </c>
      <c r="C35" s="12" t="s">
        <v>405</v>
      </c>
      <c r="D35" s="12" t="s">
        <v>153</v>
      </c>
      <c r="E35" s="12" t="str">
        <f aca="false">INDEX(Criticidade!$J$6:$J$23,MATCH(D35,Criticidade!$A$6:$A$23,0))</f>
        <v>A</v>
      </c>
      <c r="F35" s="11" t="s">
        <v>111</v>
      </c>
      <c r="G35" s="11" t="s">
        <v>406</v>
      </c>
      <c r="H35" s="11" t="s">
        <v>407</v>
      </c>
      <c r="I35" s="12" t="s">
        <v>358</v>
      </c>
      <c r="J35" s="11" t="s">
        <v>359</v>
      </c>
      <c r="K35" s="11" t="s">
        <v>408</v>
      </c>
      <c r="L35" s="11" t="s">
        <v>409</v>
      </c>
    </row>
    <row r="36" customFormat="false" ht="23.85" hidden="false" customHeight="false" outlineLevel="0" collapsed="false">
      <c r="A36" s="12" t="s">
        <v>410</v>
      </c>
      <c r="B36" s="11" t="s">
        <v>404</v>
      </c>
      <c r="C36" s="12" t="s">
        <v>405</v>
      </c>
      <c r="D36" s="12" t="s">
        <v>183</v>
      </c>
      <c r="E36" s="12" t="str">
        <f aca="false">INDEX(Criticidade!$J$6:$J$23,MATCH(D36,Criticidade!$A$6:$A$23,0))</f>
        <v>A</v>
      </c>
      <c r="F36" s="11" t="s">
        <v>384</v>
      </c>
      <c r="G36" s="11" t="s">
        <v>411</v>
      </c>
      <c r="H36" s="11" t="s">
        <v>412</v>
      </c>
      <c r="I36" s="12" t="s">
        <v>358</v>
      </c>
      <c r="J36" s="11" t="s">
        <v>359</v>
      </c>
      <c r="K36" s="11" t="s">
        <v>413</v>
      </c>
      <c r="L36" s="11" t="s">
        <v>414</v>
      </c>
    </row>
    <row r="37" customFormat="false" ht="23.85" hidden="false" customHeight="false" outlineLevel="0" collapsed="false">
      <c r="A37" s="12" t="s">
        <v>415</v>
      </c>
      <c r="B37" s="11" t="s">
        <v>404</v>
      </c>
      <c r="C37" s="12" t="s">
        <v>405</v>
      </c>
      <c r="D37" s="12" t="s">
        <v>168</v>
      </c>
      <c r="E37" s="12" t="str">
        <f aca="false">INDEX(Criticidade!$J$6:$J$23,MATCH(D37,Criticidade!$A$6:$A$23,0))</f>
        <v>A</v>
      </c>
      <c r="F37" s="11" t="s">
        <v>129</v>
      </c>
      <c r="G37" s="11" t="s">
        <v>416</v>
      </c>
      <c r="H37" s="11" t="s">
        <v>417</v>
      </c>
      <c r="I37" s="12" t="s">
        <v>365</v>
      </c>
      <c r="J37" s="11" t="s">
        <v>359</v>
      </c>
      <c r="K37" s="11" t="s">
        <v>418</v>
      </c>
      <c r="L37" s="11" t="s">
        <v>419</v>
      </c>
    </row>
    <row r="38" customFormat="false" ht="35.05" hidden="false" customHeight="false" outlineLevel="0" collapsed="false">
      <c r="A38" s="12" t="s">
        <v>420</v>
      </c>
      <c r="B38" s="11" t="s">
        <v>404</v>
      </c>
      <c r="C38" s="12" t="s">
        <v>405</v>
      </c>
      <c r="D38" s="12" t="s">
        <v>173</v>
      </c>
      <c r="E38" s="12" t="str">
        <f aca="false">INDEX(Criticidade!$J$6:$J$23,MATCH(D38,Criticidade!$A$6:$A$23,0))</f>
        <v>A</v>
      </c>
      <c r="F38" s="11" t="s">
        <v>298</v>
      </c>
      <c r="G38" s="11" t="s">
        <v>421</v>
      </c>
      <c r="H38" s="11" t="s">
        <v>422</v>
      </c>
      <c r="I38" s="12" t="s">
        <v>365</v>
      </c>
      <c r="J38" s="11" t="s">
        <v>359</v>
      </c>
      <c r="K38" s="11" t="s">
        <v>423</v>
      </c>
      <c r="L38" s="11" t="s">
        <v>424</v>
      </c>
    </row>
    <row r="39" customFormat="false" ht="46.25" hidden="false" customHeight="false" outlineLevel="0" collapsed="false">
      <c r="A39" s="12" t="s">
        <v>425</v>
      </c>
      <c r="B39" s="11" t="s">
        <v>404</v>
      </c>
      <c r="C39" s="12" t="s">
        <v>405</v>
      </c>
      <c r="D39" s="12" t="s">
        <v>188</v>
      </c>
      <c r="E39" s="12" t="str">
        <f aca="false">INDEX(Criticidade!$J$6:$J$23,MATCH(D39,Criticidade!$A$6:$A$23,0))</f>
        <v>A</v>
      </c>
      <c r="F39" s="11" t="s">
        <v>32</v>
      </c>
      <c r="G39" s="11" t="s">
        <v>426</v>
      </c>
      <c r="H39" s="11" t="s">
        <v>427</v>
      </c>
      <c r="I39" s="12" t="s">
        <v>365</v>
      </c>
      <c r="J39" s="11" t="s">
        <v>335</v>
      </c>
      <c r="K39" s="11" t="s">
        <v>428</v>
      </c>
      <c r="L39" s="11" t="s">
        <v>429</v>
      </c>
    </row>
    <row r="40" customFormat="false" ht="23.85" hidden="false" customHeight="false" outlineLevel="0" collapsed="false">
      <c r="A40" s="12" t="s">
        <v>430</v>
      </c>
      <c r="B40" s="11" t="s">
        <v>404</v>
      </c>
      <c r="C40" s="12" t="s">
        <v>405</v>
      </c>
      <c r="D40" s="12" t="s">
        <v>198</v>
      </c>
      <c r="E40" s="12" t="str">
        <f aca="false">INDEX(Criticidade!$J$6:$J$23,MATCH(D40,Criticidade!$A$6:$A$23,0))</f>
        <v>B</v>
      </c>
      <c r="F40" s="11" t="s">
        <v>306</v>
      </c>
      <c r="G40" s="11" t="s">
        <v>431</v>
      </c>
      <c r="H40" s="11" t="s">
        <v>432</v>
      </c>
      <c r="I40" s="12" t="s">
        <v>365</v>
      </c>
      <c r="J40" s="11" t="s">
        <v>359</v>
      </c>
      <c r="K40" s="11" t="s">
        <v>433</v>
      </c>
      <c r="L40" s="11" t="s">
        <v>434</v>
      </c>
    </row>
    <row r="41" customFormat="false" ht="23.85" hidden="false" customHeight="false" outlineLevel="0" collapsed="false">
      <c r="A41" s="12" t="s">
        <v>435</v>
      </c>
      <c r="B41" s="11" t="s">
        <v>404</v>
      </c>
      <c r="C41" s="12" t="s">
        <v>405</v>
      </c>
      <c r="D41" s="12" t="s">
        <v>213</v>
      </c>
      <c r="E41" s="12" t="str">
        <f aca="false">INDEX(Criticidade!$J$6:$J$23,MATCH(D41,Criticidade!$A$6:$A$23,0))</f>
        <v>B</v>
      </c>
      <c r="F41" s="11" t="s">
        <v>120</v>
      </c>
      <c r="G41" s="11" t="s">
        <v>436</v>
      </c>
      <c r="H41" s="11" t="s">
        <v>437</v>
      </c>
      <c r="I41" s="12" t="s">
        <v>365</v>
      </c>
      <c r="J41" s="11" t="s">
        <v>359</v>
      </c>
      <c r="K41" s="11" t="s">
        <v>438</v>
      </c>
      <c r="L41" s="11" t="s">
        <v>439</v>
      </c>
    </row>
    <row r="42" customFormat="false" ht="23.85" hidden="false" customHeight="false" outlineLevel="0" collapsed="false">
      <c r="A42" s="12" t="s">
        <v>440</v>
      </c>
      <c r="B42" s="11" t="s">
        <v>404</v>
      </c>
      <c r="C42" s="12" t="s">
        <v>405</v>
      </c>
      <c r="D42" s="12" t="s">
        <v>203</v>
      </c>
      <c r="E42" s="12" t="str">
        <f aca="false">INDEX(Criticidade!$J$6:$J$23,MATCH(D42,Criticidade!$A$6:$A$23,0))</f>
        <v>B</v>
      </c>
      <c r="F42" s="11" t="s">
        <v>384</v>
      </c>
      <c r="G42" s="11" t="s">
        <v>441</v>
      </c>
      <c r="H42" s="11" t="s">
        <v>442</v>
      </c>
      <c r="I42" s="12" t="s">
        <v>365</v>
      </c>
      <c r="J42" s="11" t="s">
        <v>359</v>
      </c>
      <c r="K42" s="11" t="s">
        <v>443</v>
      </c>
      <c r="L42" s="11" t="s">
        <v>444</v>
      </c>
    </row>
    <row r="43" customFormat="false" ht="23.85" hidden="false" customHeight="false" outlineLevel="0" collapsed="false">
      <c r="A43" s="12" t="s">
        <v>445</v>
      </c>
      <c r="B43" s="11" t="s">
        <v>404</v>
      </c>
      <c r="C43" s="12" t="s">
        <v>405</v>
      </c>
      <c r="D43" s="12" t="s">
        <v>218</v>
      </c>
      <c r="E43" s="12" t="str">
        <f aca="false">INDEX(Criticidade!$J$6:$J$23,MATCH(D43,Criticidade!$A$6:$A$23,0))</f>
        <v>B</v>
      </c>
      <c r="F43" s="11" t="s">
        <v>43</v>
      </c>
      <c r="G43" s="11" t="s">
        <v>446</v>
      </c>
      <c r="H43" s="11" t="s">
        <v>447</v>
      </c>
      <c r="I43" s="12" t="s">
        <v>448</v>
      </c>
      <c r="J43" s="11" t="s">
        <v>359</v>
      </c>
      <c r="K43" s="11" t="s">
        <v>449</v>
      </c>
      <c r="L43" s="11" t="s">
        <v>450</v>
      </c>
    </row>
    <row r="44" customFormat="false" ht="23.85" hidden="false" customHeight="false" outlineLevel="0" collapsed="false">
      <c r="A44" s="12" t="s">
        <v>451</v>
      </c>
      <c r="B44" s="11" t="s">
        <v>404</v>
      </c>
      <c r="C44" s="12" t="s">
        <v>405</v>
      </c>
      <c r="D44" s="12" t="s">
        <v>193</v>
      </c>
      <c r="E44" s="12" t="str">
        <f aca="false">INDEX(Criticidade!$J$6:$J$23,MATCH(D44,Criticidade!$A$6:$A$23,0))</f>
        <v>B</v>
      </c>
      <c r="F44" s="11" t="s">
        <v>107</v>
      </c>
      <c r="G44" s="11" t="s">
        <v>452</v>
      </c>
      <c r="H44" s="11" t="s">
        <v>453</v>
      </c>
      <c r="I44" s="12" t="s">
        <v>365</v>
      </c>
      <c r="J44" s="11" t="s">
        <v>359</v>
      </c>
      <c r="K44" s="11" t="s">
        <v>260</v>
      </c>
      <c r="L44" s="11" t="s">
        <v>454</v>
      </c>
    </row>
    <row r="45" customFormat="false" ht="46.25" hidden="false" customHeight="false" outlineLevel="0" collapsed="false">
      <c r="A45" s="12" t="s">
        <v>455</v>
      </c>
      <c r="B45" s="11" t="s">
        <v>456</v>
      </c>
      <c r="C45" s="12" t="s">
        <v>457</v>
      </c>
      <c r="D45" s="12" t="s">
        <v>188</v>
      </c>
      <c r="E45" s="12" t="str">
        <f aca="false">INDEX(Criticidade!$J$6:$J$23,MATCH(D45,Criticidade!$A$6:$A$23,0))</f>
        <v>A</v>
      </c>
      <c r="F45" s="11" t="s">
        <v>32</v>
      </c>
      <c r="G45" s="11" t="s">
        <v>458</v>
      </c>
      <c r="H45" s="11" t="s">
        <v>459</v>
      </c>
      <c r="I45" s="12" t="s">
        <v>365</v>
      </c>
      <c r="J45" s="11" t="s">
        <v>335</v>
      </c>
      <c r="K45" s="11" t="s">
        <v>460</v>
      </c>
      <c r="L45" s="11" t="s">
        <v>461</v>
      </c>
    </row>
    <row r="46" customFormat="false" ht="23.85" hidden="false" customHeight="false" outlineLevel="0" collapsed="false">
      <c r="A46" s="12" t="s">
        <v>462</v>
      </c>
      <c r="B46" s="11" t="s">
        <v>463</v>
      </c>
      <c r="C46" s="12" t="s">
        <v>464</v>
      </c>
      <c r="D46" s="12" t="s">
        <v>183</v>
      </c>
      <c r="E46" s="12" t="str">
        <f aca="false">INDEX(Criticidade!$J$6:$J$23,MATCH(D46,Criticidade!$A$6:$A$23,0))</f>
        <v>A</v>
      </c>
      <c r="F46" s="11" t="s">
        <v>384</v>
      </c>
      <c r="G46" s="11" t="s">
        <v>465</v>
      </c>
      <c r="H46" s="11" t="s">
        <v>466</v>
      </c>
      <c r="I46" s="12" t="s">
        <v>448</v>
      </c>
      <c r="J46" s="11" t="s">
        <v>359</v>
      </c>
      <c r="K46" s="11" t="s">
        <v>467</v>
      </c>
      <c r="L46" s="11" t="s">
        <v>468</v>
      </c>
    </row>
    <row r="47" customFormat="false" ht="35.05" hidden="false" customHeight="false" outlineLevel="0" collapsed="false">
      <c r="A47" s="12" t="s">
        <v>469</v>
      </c>
      <c r="B47" s="11" t="s">
        <v>463</v>
      </c>
      <c r="C47" s="12" t="s">
        <v>464</v>
      </c>
      <c r="D47" s="12" t="s">
        <v>153</v>
      </c>
      <c r="E47" s="12" t="str">
        <f aca="false">INDEX(Criticidade!$J$6:$J$23,MATCH(D47,Criticidade!$A$6:$A$23,0))</f>
        <v>A</v>
      </c>
      <c r="F47" s="11" t="s">
        <v>111</v>
      </c>
      <c r="G47" s="11" t="s">
        <v>470</v>
      </c>
      <c r="H47" s="11" t="s">
        <v>471</v>
      </c>
      <c r="I47" s="12" t="s">
        <v>448</v>
      </c>
      <c r="J47" s="11" t="s">
        <v>359</v>
      </c>
      <c r="K47" s="11" t="s">
        <v>472</v>
      </c>
      <c r="L47" s="11" t="s">
        <v>473</v>
      </c>
    </row>
    <row r="48" customFormat="false" ht="23.85" hidden="false" customHeight="false" outlineLevel="0" collapsed="false">
      <c r="A48" s="12" t="s">
        <v>474</v>
      </c>
      <c r="B48" s="11" t="s">
        <v>463</v>
      </c>
      <c r="C48" s="12" t="s">
        <v>464</v>
      </c>
      <c r="D48" s="12" t="s">
        <v>218</v>
      </c>
      <c r="E48" s="12" t="str">
        <f aca="false">INDEX(Criticidade!$J$6:$J$23,MATCH(D48,Criticidade!$A$6:$A$23,0))</f>
        <v>B</v>
      </c>
      <c r="F48" s="11" t="s">
        <v>43</v>
      </c>
      <c r="G48" s="11" t="s">
        <v>475</v>
      </c>
      <c r="H48" s="11" t="s">
        <v>476</v>
      </c>
      <c r="I48" s="12" t="s">
        <v>448</v>
      </c>
      <c r="J48" s="11" t="s">
        <v>359</v>
      </c>
      <c r="K48" s="11" t="s">
        <v>477</v>
      </c>
      <c r="L48" s="11" t="s">
        <v>468</v>
      </c>
    </row>
    <row r="49" customFormat="false" ht="35.05" hidden="false" customHeight="false" outlineLevel="0" collapsed="false">
      <c r="A49" s="12" t="s">
        <v>478</v>
      </c>
      <c r="B49" s="11" t="s">
        <v>479</v>
      </c>
      <c r="C49" s="12" t="s">
        <v>480</v>
      </c>
      <c r="D49" s="12" t="s">
        <v>168</v>
      </c>
      <c r="E49" s="12" t="str">
        <f aca="false">INDEX(Criticidade!$J$6:$J$23,MATCH(D49,Criticidade!$A$6:$A$23,0))</f>
        <v>A</v>
      </c>
      <c r="F49" s="11" t="s">
        <v>129</v>
      </c>
      <c r="G49" s="11" t="s">
        <v>481</v>
      </c>
      <c r="H49" s="11" t="s">
        <v>482</v>
      </c>
      <c r="I49" s="12" t="s">
        <v>448</v>
      </c>
      <c r="J49" s="11" t="s">
        <v>359</v>
      </c>
      <c r="K49" s="11" t="s">
        <v>483</v>
      </c>
      <c r="L49" s="11" t="s">
        <v>484</v>
      </c>
    </row>
    <row r="50" customFormat="false" ht="23.85" hidden="false" customHeight="false" outlineLevel="0" collapsed="false">
      <c r="A50" s="12" t="s">
        <v>485</v>
      </c>
      <c r="B50" s="11" t="s">
        <v>479</v>
      </c>
      <c r="C50" s="12" t="s">
        <v>486</v>
      </c>
      <c r="D50" s="12" t="s">
        <v>168</v>
      </c>
      <c r="E50" s="12" t="str">
        <f aca="false">INDEX(Criticidade!$J$6:$J$23,MATCH(D50,Criticidade!$A$6:$A$23,0))</f>
        <v>A</v>
      </c>
      <c r="F50" s="11" t="s">
        <v>129</v>
      </c>
      <c r="G50" s="11" t="s">
        <v>487</v>
      </c>
      <c r="H50" s="11" t="s">
        <v>488</v>
      </c>
      <c r="I50" s="12" t="s">
        <v>448</v>
      </c>
      <c r="J50" s="11" t="s">
        <v>359</v>
      </c>
      <c r="K50" s="11" t="s">
        <v>489</v>
      </c>
      <c r="L50" s="11" t="s">
        <v>490</v>
      </c>
    </row>
    <row r="51" customFormat="false" ht="23.85" hidden="false" customHeight="false" outlineLevel="0" collapsed="false">
      <c r="A51" s="12" t="s">
        <v>491</v>
      </c>
      <c r="B51" s="11" t="s">
        <v>479</v>
      </c>
      <c r="C51" s="12" t="s">
        <v>486</v>
      </c>
      <c r="D51" s="12" t="s">
        <v>183</v>
      </c>
      <c r="E51" s="12" t="str">
        <f aca="false">INDEX(Criticidade!$J$6:$J$23,MATCH(D51,Criticidade!$A$6:$A$23,0))</f>
        <v>A</v>
      </c>
      <c r="F51" s="11" t="s">
        <v>384</v>
      </c>
      <c r="G51" s="11" t="s">
        <v>492</v>
      </c>
      <c r="H51" s="11" t="s">
        <v>493</v>
      </c>
      <c r="I51" s="12" t="s">
        <v>448</v>
      </c>
      <c r="J51" s="11" t="s">
        <v>359</v>
      </c>
      <c r="K51" s="11" t="s">
        <v>477</v>
      </c>
      <c r="L51" s="11" t="s">
        <v>494</v>
      </c>
    </row>
    <row r="52" customFormat="false" ht="23.85" hidden="false" customHeight="false" outlineLevel="0" collapsed="false">
      <c r="A52" s="12" t="s">
        <v>495</v>
      </c>
      <c r="B52" s="11" t="s">
        <v>479</v>
      </c>
      <c r="C52" s="12" t="s">
        <v>480</v>
      </c>
      <c r="D52" s="12" t="s">
        <v>218</v>
      </c>
      <c r="E52" s="12" t="str">
        <f aca="false">INDEX(Criticidade!$J$6:$J$23,MATCH(D52,Criticidade!$A$6:$A$23,0))</f>
        <v>B</v>
      </c>
      <c r="F52" s="11" t="s">
        <v>43</v>
      </c>
      <c r="G52" s="11" t="s">
        <v>496</v>
      </c>
      <c r="H52" s="11" t="s">
        <v>497</v>
      </c>
      <c r="I52" s="12" t="s">
        <v>448</v>
      </c>
      <c r="J52" s="11" t="s">
        <v>359</v>
      </c>
      <c r="K52" s="11" t="s">
        <v>477</v>
      </c>
      <c r="L52" s="11" t="s">
        <v>498</v>
      </c>
    </row>
    <row r="53" customFormat="false" ht="23.85" hidden="false" customHeight="false" outlineLevel="0" collapsed="false">
      <c r="A53" s="12" t="s">
        <v>499</v>
      </c>
      <c r="B53" s="11" t="s">
        <v>479</v>
      </c>
      <c r="C53" s="12" t="s">
        <v>486</v>
      </c>
      <c r="D53" s="12" t="s">
        <v>213</v>
      </c>
      <c r="E53" s="12" t="str">
        <f aca="false">INDEX(Criticidade!$J$6:$J$23,MATCH(D53,Criticidade!$A$6:$A$23,0))</f>
        <v>B</v>
      </c>
      <c r="F53" s="11" t="s">
        <v>120</v>
      </c>
      <c r="G53" s="11" t="s">
        <v>500</v>
      </c>
      <c r="H53" s="11" t="s">
        <v>501</v>
      </c>
      <c r="I53" s="12" t="s">
        <v>448</v>
      </c>
      <c r="J53" s="11" t="s">
        <v>359</v>
      </c>
      <c r="K53" s="11" t="s">
        <v>502</v>
      </c>
      <c r="L53" s="11" t="s">
        <v>490</v>
      </c>
    </row>
    <row r="54" customFormat="false" ht="23.85" hidden="false" customHeight="false" outlineLevel="0" collapsed="false">
      <c r="A54" s="12" t="s">
        <v>503</v>
      </c>
      <c r="B54" s="11" t="s">
        <v>479</v>
      </c>
      <c r="C54" s="12" t="s">
        <v>480</v>
      </c>
      <c r="D54" s="12" t="s">
        <v>223</v>
      </c>
      <c r="E54" s="12" t="str">
        <f aca="false">INDEX(Criticidade!$J$6:$J$23,MATCH(D54,Criticidade!$A$6:$A$23,0))</f>
        <v>C</v>
      </c>
      <c r="F54" s="11" t="s">
        <v>504</v>
      </c>
      <c r="G54" s="11" t="s">
        <v>505</v>
      </c>
      <c r="H54" s="11" t="s">
        <v>506</v>
      </c>
      <c r="I54" s="12" t="s">
        <v>448</v>
      </c>
      <c r="J54" s="11" t="s">
        <v>359</v>
      </c>
      <c r="K54" s="11" t="s">
        <v>507</v>
      </c>
      <c r="L54" s="11" t="s">
        <v>490</v>
      </c>
    </row>
    <row r="55" customFormat="false" ht="23.85" hidden="false" customHeight="false" outlineLevel="0" collapsed="false">
      <c r="A55" s="12" t="s">
        <v>508</v>
      </c>
      <c r="B55" s="11" t="s">
        <v>509</v>
      </c>
      <c r="C55" s="12" t="s">
        <v>509</v>
      </c>
      <c r="D55" s="12" t="s">
        <v>168</v>
      </c>
      <c r="E55" s="12" t="str">
        <f aca="false">INDEX(Criticidade!$J$6:$J$23,MATCH(D55,Criticidade!$A$6:$A$23,0))</f>
        <v>A</v>
      </c>
      <c r="F55" s="11" t="s">
        <v>129</v>
      </c>
      <c r="G55" s="11" t="s">
        <v>510</v>
      </c>
      <c r="H55" s="11" t="s">
        <v>511</v>
      </c>
      <c r="I55" s="12" t="s">
        <v>448</v>
      </c>
      <c r="J55" s="11" t="s">
        <v>359</v>
      </c>
      <c r="K55" s="11" t="s">
        <v>512</v>
      </c>
      <c r="L55" s="11" t="s">
        <v>498</v>
      </c>
    </row>
    <row r="56" customFormat="false" ht="35.05" hidden="false" customHeight="false" outlineLevel="0" collapsed="false">
      <c r="A56" s="12" t="s">
        <v>513</v>
      </c>
      <c r="B56" s="11" t="s">
        <v>514</v>
      </c>
      <c r="C56" s="12" t="s">
        <v>515</v>
      </c>
      <c r="D56" s="12" t="s">
        <v>178</v>
      </c>
      <c r="E56" s="12" t="str">
        <f aca="false">INDEX(Criticidade!$J$6:$J$23,MATCH(D56,Criticidade!$A$6:$A$23,0))</f>
        <v>A</v>
      </c>
      <c r="F56" s="11" t="s">
        <v>179</v>
      </c>
      <c r="G56" s="11" t="s">
        <v>516</v>
      </c>
      <c r="H56" s="11" t="s">
        <v>517</v>
      </c>
      <c r="I56" s="12" t="s">
        <v>448</v>
      </c>
      <c r="J56" s="11" t="s">
        <v>359</v>
      </c>
      <c r="K56" s="11" t="s">
        <v>518</v>
      </c>
      <c r="L56" s="11" t="s">
        <v>519</v>
      </c>
    </row>
    <row r="57" customFormat="false" ht="23.85" hidden="false" customHeight="false" outlineLevel="0" collapsed="false">
      <c r="A57" s="12" t="s">
        <v>520</v>
      </c>
      <c r="B57" s="11" t="s">
        <v>514</v>
      </c>
      <c r="C57" s="12" t="s">
        <v>515</v>
      </c>
      <c r="D57" s="12" t="s">
        <v>173</v>
      </c>
      <c r="E57" s="12" t="str">
        <f aca="false">INDEX(Criticidade!$J$6:$J$23,MATCH(D57,Criticidade!$A$6:$A$23,0))</f>
        <v>A</v>
      </c>
      <c r="F57" s="11" t="s">
        <v>298</v>
      </c>
      <c r="G57" s="11" t="s">
        <v>521</v>
      </c>
      <c r="H57" s="11" t="s">
        <v>522</v>
      </c>
      <c r="I57" s="12" t="s">
        <v>448</v>
      </c>
      <c r="J57" s="11" t="s">
        <v>359</v>
      </c>
      <c r="K57" s="11" t="s">
        <v>523</v>
      </c>
      <c r="L57" s="11" t="s">
        <v>424</v>
      </c>
    </row>
    <row r="58" customFormat="false" ht="23.85" hidden="false" customHeight="false" outlineLevel="0" collapsed="false">
      <c r="A58" s="12" t="s">
        <v>524</v>
      </c>
      <c r="B58" s="11" t="s">
        <v>514</v>
      </c>
      <c r="C58" s="12" t="s">
        <v>515</v>
      </c>
      <c r="D58" s="12" t="s">
        <v>168</v>
      </c>
      <c r="E58" s="12" t="str">
        <f aca="false">INDEX(Criticidade!$J$6:$J$23,MATCH(D58,Criticidade!$A$6:$A$23,0))</f>
        <v>A</v>
      </c>
      <c r="F58" s="11" t="s">
        <v>129</v>
      </c>
      <c r="G58" s="11" t="s">
        <v>525</v>
      </c>
      <c r="H58" s="11" t="s">
        <v>526</v>
      </c>
      <c r="I58" s="12" t="s">
        <v>448</v>
      </c>
      <c r="J58" s="11" t="s">
        <v>359</v>
      </c>
      <c r="K58" s="11" t="s">
        <v>527</v>
      </c>
      <c r="L58" s="11" t="s">
        <v>528</v>
      </c>
    </row>
    <row r="59" customFormat="false" ht="46.25" hidden="false" customHeight="false" outlineLevel="0" collapsed="false">
      <c r="A59" s="12" t="s">
        <v>529</v>
      </c>
      <c r="B59" s="11" t="s">
        <v>514</v>
      </c>
      <c r="C59" s="12" t="s">
        <v>515</v>
      </c>
      <c r="D59" s="12" t="s">
        <v>188</v>
      </c>
      <c r="E59" s="12" t="str">
        <f aca="false">INDEX(Criticidade!$J$6:$J$23,MATCH(D59,Criticidade!$A$6:$A$23,0))</f>
        <v>A</v>
      </c>
      <c r="F59" s="11" t="s">
        <v>32</v>
      </c>
      <c r="G59" s="11" t="s">
        <v>530</v>
      </c>
      <c r="H59" s="11" t="s">
        <v>531</v>
      </c>
      <c r="I59" s="12" t="s">
        <v>365</v>
      </c>
      <c r="J59" s="11" t="s">
        <v>335</v>
      </c>
      <c r="K59" s="11" t="s">
        <v>532</v>
      </c>
      <c r="L59" s="11" t="s">
        <v>533</v>
      </c>
    </row>
  </sheetData>
  <autoFilter ref="A4:L59"/>
  <conditionalFormatting sqref="E5:E5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1" t="s">
        <v>534</v>
      </c>
    </row>
    <row r="2" customFormat="false" ht="15" hidden="false" customHeight="false" outlineLevel="0" collapsed="false">
      <c r="A2" s="2" t="s">
        <v>535</v>
      </c>
    </row>
    <row r="4" customFormat="false" ht="15" hidden="false" customHeight="false" outlineLevel="0" collapsed="false">
      <c r="A4" s="15" t="s">
        <v>536</v>
      </c>
      <c r="B4" s="16" t="n">
        <v>1180</v>
      </c>
    </row>
    <row r="5" customFormat="false" ht="15" hidden="false" customHeight="false" outlineLevel="0" collapsed="false">
      <c r="A5" s="15" t="s">
        <v>537</v>
      </c>
      <c r="B5" s="17" t="n">
        <f aca="true">TODAY()</f>
        <v>46314</v>
      </c>
    </row>
    <row r="7" customFormat="false" ht="23.85" hidden="false" customHeight="false" outlineLevel="0" collapsed="false">
      <c r="A7" s="10" t="s">
        <v>538</v>
      </c>
      <c r="B7" s="10" t="s">
        <v>539</v>
      </c>
      <c r="C7" s="10" t="s">
        <v>540</v>
      </c>
      <c r="D7" s="10" t="s">
        <v>541</v>
      </c>
      <c r="E7" s="10" t="s">
        <v>542</v>
      </c>
      <c r="F7" s="10" t="s">
        <v>543</v>
      </c>
      <c r="G7" s="10" t="s">
        <v>544</v>
      </c>
      <c r="H7" s="10" t="s">
        <v>545</v>
      </c>
      <c r="I7" s="10" t="s">
        <v>546</v>
      </c>
      <c r="J7" s="10" t="s">
        <v>547</v>
      </c>
      <c r="K7" s="10" t="s">
        <v>249</v>
      </c>
    </row>
    <row r="8" customFormat="false" ht="15" hidden="false" customHeight="false" outlineLevel="0" collapsed="false">
      <c r="A8" s="12" t="s">
        <v>548</v>
      </c>
      <c r="B8" s="12" t="n">
        <v>50</v>
      </c>
      <c r="C8" s="12" t="n">
        <v>7</v>
      </c>
      <c r="D8" s="18" t="n">
        <v>1150</v>
      </c>
      <c r="E8" s="19" t="n">
        <v>46308</v>
      </c>
      <c r="F8" s="12" t="n">
        <f aca="false">IF(OR(B8="",D8=""),"",D8+B8)</f>
        <v>1200</v>
      </c>
      <c r="G8" s="20" t="n">
        <f aca="false">IF(OR(C8="",E8=""),"",E8+C8)</f>
        <v>46315</v>
      </c>
      <c r="H8" s="12" t="n">
        <f aca="false">IF(F8="","",F8-$B$4)</f>
        <v>20</v>
      </c>
      <c r="I8" s="12" t="n">
        <f aca="false">IF(G8="","",G8-$B$5)</f>
        <v>1</v>
      </c>
      <c r="J8" s="12" t="str">
        <f aca="false">IF(OR(AND(H8&lt;&gt;"",H8&lt;=0),AND(I8&lt;&gt;"",I8&lt;=0)),"VENCIDA",IF(OR(AND(H8&lt;&gt;"",H8&lt;=0.1*B8),AND(I8&lt;&gt;"",I8&lt;=7)),"PROGRAMAR","OK"))</f>
        <v>PROGRAMAR</v>
      </c>
      <c r="K8" s="12" t="s">
        <v>365</v>
      </c>
    </row>
    <row r="9" customFormat="false" ht="15" hidden="false" customHeight="false" outlineLevel="0" collapsed="false">
      <c r="A9" s="12" t="s">
        <v>549</v>
      </c>
      <c r="B9" s="12" t="n">
        <v>200</v>
      </c>
      <c r="C9" s="12" t="n">
        <v>30</v>
      </c>
      <c r="D9" s="18" t="n">
        <v>1000</v>
      </c>
      <c r="E9" s="19" t="n">
        <v>46286</v>
      </c>
      <c r="F9" s="12" t="n">
        <f aca="false">IF(OR(B9="",D9=""),"",D9+B9)</f>
        <v>1200</v>
      </c>
      <c r="G9" s="20" t="n">
        <f aca="false">IF(OR(C9="",E9=""),"",E9+C9)</f>
        <v>46316</v>
      </c>
      <c r="H9" s="12" t="n">
        <f aca="false">IF(F9="","",F9-$B$4)</f>
        <v>20</v>
      </c>
      <c r="I9" s="12" t="n">
        <f aca="false">IF(G9="","",G9-$B$5)</f>
        <v>2</v>
      </c>
      <c r="J9" s="12" t="str">
        <f aca="false">IF(OR(AND(H9&lt;&gt;"",H9&lt;=0),AND(I9&lt;&gt;"",I9&lt;=0)),"VENCIDA",IF(OR(AND(H9&lt;&gt;"",H9&lt;=0.1*B9),AND(I9&lt;&gt;"",I9&lt;=7)),"PROGRAMAR","OK"))</f>
        <v>PROGRAMAR</v>
      </c>
      <c r="K9" s="12" t="s">
        <v>550</v>
      </c>
    </row>
    <row r="10" customFormat="false" ht="15" hidden="false" customHeight="false" outlineLevel="0" collapsed="false">
      <c r="A10" s="12" t="s">
        <v>551</v>
      </c>
      <c r="B10" s="12"/>
      <c r="C10" s="12" t="n">
        <v>75</v>
      </c>
      <c r="D10" s="18"/>
      <c r="E10" s="19" t="n">
        <v>46254</v>
      </c>
      <c r="F10" s="12" t="str">
        <f aca="false">IF(OR(B10="",D10=""),"",D10+B10)</f>
        <v/>
      </c>
      <c r="G10" s="20" t="n">
        <f aca="false">IF(OR(C10="",E10=""),"",E10+C10)</f>
        <v>46329</v>
      </c>
      <c r="H10" s="12" t="str">
        <f aca="false">IF(F10="","",F10-$B$4)</f>
        <v/>
      </c>
      <c r="I10" s="12" t="n">
        <f aca="false">IF(G10="","",G10-$B$5)</f>
        <v>15</v>
      </c>
      <c r="J10" s="12" t="str">
        <f aca="false">IF(OR(AND(H10&lt;&gt;"",H10&lt;=0),AND(I10&lt;&gt;"",I10&lt;=0)),"VENCIDA",IF(OR(AND(H10&lt;&gt;"",H10&lt;=0.1*B10),AND(I10&lt;&gt;"",I10&lt;=7)),"PROGRAMAR","OK"))</f>
        <v>OK</v>
      </c>
      <c r="K10" s="12" t="s">
        <v>365</v>
      </c>
    </row>
    <row r="11" customFormat="false" ht="15" hidden="false" customHeight="false" outlineLevel="0" collapsed="false">
      <c r="A11" s="12" t="s">
        <v>552</v>
      </c>
      <c r="B11" s="12" t="n">
        <v>600</v>
      </c>
      <c r="C11" s="12" t="n">
        <v>91</v>
      </c>
      <c r="D11" s="18" t="n">
        <v>600</v>
      </c>
      <c r="E11" s="19" t="n">
        <v>46223</v>
      </c>
      <c r="F11" s="12" t="n">
        <f aca="false">IF(OR(B11="",D11=""),"",D11+B11)</f>
        <v>1200</v>
      </c>
      <c r="G11" s="20" t="n">
        <f aca="false">IF(OR(C11="",E11=""),"",E11+C11)</f>
        <v>46314</v>
      </c>
      <c r="H11" s="12" t="n">
        <f aca="false">IF(F11="","",F11-$B$4)</f>
        <v>20</v>
      </c>
      <c r="I11" s="12" t="n">
        <f aca="false">IF(G11="","",G11-$B$5)</f>
        <v>0</v>
      </c>
      <c r="J11" s="12" t="str">
        <f aca="false">IF(OR(AND(H11&lt;&gt;"",H11&lt;=0),AND(I11&lt;&gt;"",I11&lt;=0)),"VENCIDA",IF(OR(AND(H11&lt;&gt;"",H11&lt;=0.1*B11),AND(I11&lt;&gt;"",I11&lt;=7)),"PROGRAMAR","OK"))</f>
        <v>VENCIDA</v>
      </c>
      <c r="K11" s="12" t="s">
        <v>448</v>
      </c>
    </row>
    <row r="12" customFormat="false" ht="23.85" hidden="false" customHeight="false" outlineLevel="0" collapsed="false">
      <c r="A12" s="12" t="s">
        <v>553</v>
      </c>
      <c r="B12" s="12" t="n">
        <v>1000</v>
      </c>
      <c r="C12" s="12" t="n">
        <v>182</v>
      </c>
      <c r="D12" s="18" t="n">
        <v>0</v>
      </c>
      <c r="E12" s="19" t="n">
        <v>46152</v>
      </c>
      <c r="F12" s="12" t="n">
        <f aca="false">IF(OR(B12="",D12=""),"",D12+B12)</f>
        <v>1000</v>
      </c>
      <c r="G12" s="20" t="n">
        <f aca="false">IF(OR(C12="",E12=""),"",E12+C12)</f>
        <v>46334</v>
      </c>
      <c r="H12" s="12" t="n">
        <f aca="false">IF(F12="","",F12-$B$4)</f>
        <v>-180</v>
      </c>
      <c r="I12" s="12" t="n">
        <f aca="false">IF(G12="","",G12-$B$5)</f>
        <v>20</v>
      </c>
      <c r="J12" s="12" t="str">
        <f aca="false">IF(OR(AND(H12&lt;&gt;"",H12&lt;=0),AND(I12&lt;&gt;"",I12&lt;=0)),"VENCIDA",IF(OR(AND(H12&lt;&gt;"",H12&lt;=0.1*B12),AND(I12&lt;&gt;"",I12&lt;=7)),"PROGRAMAR","OK"))</f>
        <v>VENCIDA</v>
      </c>
      <c r="K12" s="12" t="s">
        <v>448</v>
      </c>
    </row>
    <row r="13" customFormat="false" ht="15" hidden="false" customHeight="false" outlineLevel="0" collapsed="false">
      <c r="A13" s="12" t="s">
        <v>554</v>
      </c>
      <c r="B13" s="12" t="n">
        <v>2000</v>
      </c>
      <c r="C13" s="12"/>
      <c r="D13" s="18" t="n">
        <v>0</v>
      </c>
      <c r="E13" s="19" t="n">
        <v>46152</v>
      </c>
      <c r="F13" s="12" t="n">
        <f aca="false">IF(OR(B13="",D13=""),"",D13+B13)</f>
        <v>2000</v>
      </c>
      <c r="G13" s="20" t="str">
        <f aca="false">IF(OR(C13="",E13=""),"",E13+C13)</f>
        <v/>
      </c>
      <c r="H13" s="12" t="n">
        <f aca="false">IF(F13="","",F13-$B$4)</f>
        <v>820</v>
      </c>
      <c r="I13" s="12" t="str">
        <f aca="false">IF(G13="","",G13-$B$5)</f>
        <v/>
      </c>
      <c r="J13" s="12" t="str">
        <f aca="false">IF(OR(AND(H13&lt;&gt;"",H13&lt;=0),AND(I13&lt;&gt;"",I13&lt;=0)),"VENCIDA",IF(OR(AND(H13&lt;&gt;"",H13&lt;=0.1*B13),AND(I13&lt;&gt;"",I13&lt;=7)),"PROGRAMAR","OK"))</f>
        <v>OK</v>
      </c>
      <c r="K13" s="12" t="s">
        <v>448</v>
      </c>
    </row>
    <row r="14" customFormat="false" ht="15" hidden="false" customHeight="false" outlineLevel="0" collapsed="false">
      <c r="A14" s="12" t="s">
        <v>555</v>
      </c>
      <c r="B14" s="12" t="n">
        <v>2400</v>
      </c>
      <c r="C14" s="12" t="n">
        <v>365</v>
      </c>
      <c r="D14" s="18" t="n">
        <v>0</v>
      </c>
      <c r="E14" s="19" t="n">
        <v>46152</v>
      </c>
      <c r="F14" s="12" t="n">
        <f aca="false">IF(OR(B14="",D14=""),"",D14+B14)</f>
        <v>2400</v>
      </c>
      <c r="G14" s="20" t="n">
        <f aca="false">IF(OR(C14="",E14=""),"",E14+C14)</f>
        <v>46517</v>
      </c>
      <c r="H14" s="12" t="n">
        <f aca="false">IF(F14="","",F14-$B$4)</f>
        <v>1220</v>
      </c>
      <c r="I14" s="12" t="n">
        <f aca="false">IF(G14="","",G14-$B$5)</f>
        <v>203</v>
      </c>
      <c r="J14" s="12" t="str">
        <f aca="false">IF(OR(AND(H14&lt;&gt;"",H14&lt;=0),AND(I14&lt;&gt;"",I14&lt;=0)),"VENCIDA",IF(OR(AND(H14&lt;&gt;"",H14&lt;=0.1*B14),AND(I14&lt;&gt;"",I14&lt;=7)),"PROGRAMAR","OK"))</f>
        <v>OK</v>
      </c>
      <c r="K14" s="12" t="s">
        <v>448</v>
      </c>
    </row>
    <row r="16" customFormat="false" ht="15" hidden="false" customHeight="false" outlineLevel="0" collapsed="false">
      <c r="A16" s="13" t="s">
        <v>556</v>
      </c>
    </row>
  </sheetData>
  <conditionalFormatting sqref="J8:J14">
    <cfRule type="cellIs" priority="2" operator="equal" aboveAverage="0" equalAverage="0" bottom="0" percent="0" rank="0" text="" dxfId="0">
      <formula>"VENCIDA"</formula>
    </cfRule>
    <cfRule type="cellIs" priority="3" operator="equal" aboveAverage="0" equalAverage="0" bottom="0" percent="0" rank="0" text="" dxfId="1">
      <formula>"PROGRAMAR"</formula>
    </cfRule>
    <cfRule type="cellIs" priority="4" operator="equal" aboveAverage="0" equalAverage="0" bottom="0" percent="0" rank="0" text="" dxfId="2">
      <formula>"OK"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54" min="3" style="0" width="4"/>
  </cols>
  <sheetData>
    <row r="1" customFormat="false" ht="17.35" hidden="false" customHeight="false" outlineLevel="0" collapsed="false">
      <c r="A1" s="1" t="s">
        <v>557</v>
      </c>
    </row>
    <row r="2" customFormat="false" ht="15" hidden="false" customHeight="false" outlineLevel="0" collapsed="false">
      <c r="A2" s="2" t="s">
        <v>558</v>
      </c>
    </row>
    <row r="3" customFormat="false" ht="15" hidden="false" customHeight="false" outlineLevel="0" collapsed="false">
      <c r="A3" s="15" t="s">
        <v>559</v>
      </c>
      <c r="C3" s="21" t="n">
        <v>46328</v>
      </c>
    </row>
    <row r="5" customFormat="false" ht="22.35" hidden="false" customHeight="false" outlineLevel="0" collapsed="false">
      <c r="A5" s="22" t="s">
        <v>538</v>
      </c>
      <c r="B5" s="22" t="s">
        <v>560</v>
      </c>
      <c r="C5" s="22" t="n">
        <v>1</v>
      </c>
      <c r="D5" s="22" t="n">
        <v>2</v>
      </c>
      <c r="E5" s="22" t="n">
        <v>3</v>
      </c>
      <c r="F5" s="22" t="n">
        <v>4</v>
      </c>
      <c r="G5" s="22" t="n">
        <v>5</v>
      </c>
      <c r="H5" s="22" t="n">
        <v>6</v>
      </c>
      <c r="I5" s="22" t="n">
        <v>7</v>
      </c>
      <c r="J5" s="22" t="n">
        <v>8</v>
      </c>
      <c r="K5" s="22" t="n">
        <v>9</v>
      </c>
      <c r="L5" s="22" t="n">
        <v>10</v>
      </c>
      <c r="M5" s="22" t="n">
        <v>11</v>
      </c>
      <c r="N5" s="22" t="n">
        <v>12</v>
      </c>
      <c r="O5" s="22" t="n">
        <v>13</v>
      </c>
      <c r="P5" s="22" t="n">
        <v>14</v>
      </c>
      <c r="Q5" s="22" t="n">
        <v>15</v>
      </c>
      <c r="R5" s="22" t="n">
        <v>16</v>
      </c>
      <c r="S5" s="22" t="n">
        <v>17</v>
      </c>
      <c r="T5" s="22" t="n">
        <v>18</v>
      </c>
      <c r="U5" s="22" t="n">
        <v>19</v>
      </c>
      <c r="V5" s="22" t="n">
        <v>20</v>
      </c>
      <c r="W5" s="22" t="n">
        <v>21</v>
      </c>
      <c r="X5" s="22" t="n">
        <v>22</v>
      </c>
      <c r="Y5" s="22" t="n">
        <v>23</v>
      </c>
      <c r="Z5" s="22" t="n">
        <v>24</v>
      </c>
      <c r="AA5" s="22" t="n">
        <v>25</v>
      </c>
      <c r="AB5" s="22" t="n">
        <v>26</v>
      </c>
      <c r="AC5" s="22" t="n">
        <v>27</v>
      </c>
      <c r="AD5" s="22" t="n">
        <v>28</v>
      </c>
      <c r="AE5" s="22" t="n">
        <v>29</v>
      </c>
      <c r="AF5" s="22" t="n">
        <v>30</v>
      </c>
      <c r="AG5" s="22" t="n">
        <v>31</v>
      </c>
      <c r="AH5" s="22" t="n">
        <v>32</v>
      </c>
      <c r="AI5" s="22" t="n">
        <v>33</v>
      </c>
      <c r="AJ5" s="22" t="n">
        <v>34</v>
      </c>
      <c r="AK5" s="22" t="n">
        <v>35</v>
      </c>
      <c r="AL5" s="22" t="n">
        <v>36</v>
      </c>
      <c r="AM5" s="22" t="n">
        <v>37</v>
      </c>
      <c r="AN5" s="22" t="n">
        <v>38</v>
      </c>
      <c r="AO5" s="22" t="n">
        <v>39</v>
      </c>
      <c r="AP5" s="22" t="n">
        <v>40</v>
      </c>
      <c r="AQ5" s="22" t="n">
        <v>41</v>
      </c>
      <c r="AR5" s="22" t="n">
        <v>42</v>
      </c>
      <c r="AS5" s="22" t="n">
        <v>43</v>
      </c>
      <c r="AT5" s="22" t="n">
        <v>44</v>
      </c>
      <c r="AU5" s="22" t="n">
        <v>45</v>
      </c>
      <c r="AV5" s="22" t="n">
        <v>46</v>
      </c>
      <c r="AW5" s="22" t="n">
        <v>47</v>
      </c>
      <c r="AX5" s="22" t="n">
        <v>48</v>
      </c>
      <c r="AY5" s="22" t="n">
        <v>49</v>
      </c>
      <c r="AZ5" s="22" t="n">
        <v>50</v>
      </c>
      <c r="BA5" s="22" t="n">
        <v>51</v>
      </c>
      <c r="BB5" s="22" t="n">
        <v>52</v>
      </c>
    </row>
    <row r="6" customFormat="false" ht="42" hidden="false" customHeight="true" outlineLevel="0" collapsed="false">
      <c r="A6" s="23" t="s">
        <v>561</v>
      </c>
      <c r="B6" s="23"/>
      <c r="C6" s="24" t="n">
        <f aca="false">$C$3+(C5-1)*7</f>
        <v>46328</v>
      </c>
      <c r="D6" s="24" t="n">
        <f aca="false">$C$3+(D5-1)*7</f>
        <v>46335</v>
      </c>
      <c r="E6" s="24" t="n">
        <f aca="false">$C$3+(E5-1)*7</f>
        <v>46342</v>
      </c>
      <c r="F6" s="24" t="n">
        <f aca="false">$C$3+(F5-1)*7</f>
        <v>46349</v>
      </c>
      <c r="G6" s="24" t="n">
        <f aca="false">$C$3+(G5-1)*7</f>
        <v>46356</v>
      </c>
      <c r="H6" s="24" t="n">
        <f aca="false">$C$3+(H5-1)*7</f>
        <v>46363</v>
      </c>
      <c r="I6" s="24" t="n">
        <f aca="false">$C$3+(I5-1)*7</f>
        <v>46370</v>
      </c>
      <c r="J6" s="24" t="n">
        <f aca="false">$C$3+(J5-1)*7</f>
        <v>46377</v>
      </c>
      <c r="K6" s="24" t="n">
        <f aca="false">$C$3+(K5-1)*7</f>
        <v>46384</v>
      </c>
      <c r="L6" s="24" t="n">
        <f aca="false">$C$3+(L5-1)*7</f>
        <v>46391</v>
      </c>
      <c r="M6" s="24" t="n">
        <f aca="false">$C$3+(M5-1)*7</f>
        <v>46398</v>
      </c>
      <c r="N6" s="24" t="n">
        <f aca="false">$C$3+(N5-1)*7</f>
        <v>46405</v>
      </c>
      <c r="O6" s="24" t="n">
        <f aca="false">$C$3+(O5-1)*7</f>
        <v>46412</v>
      </c>
      <c r="P6" s="24" t="n">
        <f aca="false">$C$3+(P5-1)*7</f>
        <v>46419</v>
      </c>
      <c r="Q6" s="24" t="n">
        <f aca="false">$C$3+(Q5-1)*7</f>
        <v>46426</v>
      </c>
      <c r="R6" s="24" t="n">
        <f aca="false">$C$3+(R5-1)*7</f>
        <v>46433</v>
      </c>
      <c r="S6" s="24" t="n">
        <f aca="false">$C$3+(S5-1)*7</f>
        <v>46440</v>
      </c>
      <c r="T6" s="24" t="n">
        <f aca="false">$C$3+(T5-1)*7</f>
        <v>46447</v>
      </c>
      <c r="U6" s="24" t="n">
        <f aca="false">$C$3+(U5-1)*7</f>
        <v>46454</v>
      </c>
      <c r="V6" s="24" t="n">
        <f aca="false">$C$3+(V5-1)*7</f>
        <v>46461</v>
      </c>
      <c r="W6" s="24" t="n">
        <f aca="false">$C$3+(W5-1)*7</f>
        <v>46468</v>
      </c>
      <c r="X6" s="24" t="n">
        <f aca="false">$C$3+(X5-1)*7</f>
        <v>46475</v>
      </c>
      <c r="Y6" s="24" t="n">
        <f aca="false">$C$3+(Y5-1)*7</f>
        <v>46482</v>
      </c>
      <c r="Z6" s="24" t="n">
        <f aca="false">$C$3+(Z5-1)*7</f>
        <v>46489</v>
      </c>
      <c r="AA6" s="24" t="n">
        <f aca="false">$C$3+(AA5-1)*7</f>
        <v>46496</v>
      </c>
      <c r="AB6" s="24" t="n">
        <f aca="false">$C$3+(AB5-1)*7</f>
        <v>46503</v>
      </c>
      <c r="AC6" s="24" t="n">
        <f aca="false">$C$3+(AC5-1)*7</f>
        <v>46510</v>
      </c>
      <c r="AD6" s="24" t="n">
        <f aca="false">$C$3+(AD5-1)*7</f>
        <v>46517</v>
      </c>
      <c r="AE6" s="24" t="n">
        <f aca="false">$C$3+(AE5-1)*7</f>
        <v>46524</v>
      </c>
      <c r="AF6" s="24" t="n">
        <f aca="false">$C$3+(AF5-1)*7</f>
        <v>46531</v>
      </c>
      <c r="AG6" s="24" t="n">
        <f aca="false">$C$3+(AG5-1)*7</f>
        <v>46538</v>
      </c>
      <c r="AH6" s="24" t="n">
        <f aca="false">$C$3+(AH5-1)*7</f>
        <v>46545</v>
      </c>
      <c r="AI6" s="24" t="n">
        <f aca="false">$C$3+(AI5-1)*7</f>
        <v>46552</v>
      </c>
      <c r="AJ6" s="24" t="n">
        <f aca="false">$C$3+(AJ5-1)*7</f>
        <v>46559</v>
      </c>
      <c r="AK6" s="24" t="n">
        <f aca="false">$C$3+(AK5-1)*7</f>
        <v>46566</v>
      </c>
      <c r="AL6" s="24" t="n">
        <f aca="false">$C$3+(AL5-1)*7</f>
        <v>46573</v>
      </c>
      <c r="AM6" s="24" t="n">
        <f aca="false">$C$3+(AM5-1)*7</f>
        <v>46580</v>
      </c>
      <c r="AN6" s="24" t="n">
        <f aca="false">$C$3+(AN5-1)*7</f>
        <v>46587</v>
      </c>
      <c r="AO6" s="24" t="n">
        <f aca="false">$C$3+(AO5-1)*7</f>
        <v>46594</v>
      </c>
      <c r="AP6" s="24" t="n">
        <f aca="false">$C$3+(AP5-1)*7</f>
        <v>46601</v>
      </c>
      <c r="AQ6" s="24" t="n">
        <f aca="false">$C$3+(AQ5-1)*7</f>
        <v>46608</v>
      </c>
      <c r="AR6" s="24" t="n">
        <f aca="false">$C$3+(AR5-1)*7</f>
        <v>46615</v>
      </c>
      <c r="AS6" s="24" t="n">
        <f aca="false">$C$3+(AS5-1)*7</f>
        <v>46622</v>
      </c>
      <c r="AT6" s="24" t="n">
        <f aca="false">$C$3+(AT5-1)*7</f>
        <v>46629</v>
      </c>
      <c r="AU6" s="24" t="n">
        <f aca="false">$C$3+(AU5-1)*7</f>
        <v>46636</v>
      </c>
      <c r="AV6" s="24" t="n">
        <f aca="false">$C$3+(AV5-1)*7</f>
        <v>46643</v>
      </c>
      <c r="AW6" s="24" t="n">
        <f aca="false">$C$3+(AW5-1)*7</f>
        <v>46650</v>
      </c>
      <c r="AX6" s="24" t="n">
        <f aca="false">$C$3+(AX5-1)*7</f>
        <v>46657</v>
      </c>
      <c r="AY6" s="24" t="n">
        <f aca="false">$C$3+(AY5-1)*7</f>
        <v>46664</v>
      </c>
      <c r="AZ6" s="24" t="n">
        <f aca="false">$C$3+(AZ5-1)*7</f>
        <v>46671</v>
      </c>
      <c r="BA6" s="24" t="n">
        <f aca="false">$C$3+(BA5-1)*7</f>
        <v>46678</v>
      </c>
      <c r="BB6" s="24" t="n">
        <f aca="false">$C$3+(BB5-1)*7</f>
        <v>46685</v>
      </c>
    </row>
    <row r="7" customFormat="false" ht="15" hidden="false" customHeight="false" outlineLevel="0" collapsed="false">
      <c r="A7" s="25" t="s">
        <v>562</v>
      </c>
      <c r="B7" s="18" t="n">
        <v>1</v>
      </c>
      <c r="C7" s="12" t="str">
        <f aca="false">IF(MOD(C$5,$B7)=0,"●","")</f>
        <v>●</v>
      </c>
      <c r="D7" s="12" t="str">
        <f aca="false">IF(MOD(D$5,$B7)=0,"●","")</f>
        <v>●</v>
      </c>
      <c r="E7" s="12" t="str">
        <f aca="false">IF(MOD(E$5,$B7)=0,"●","")</f>
        <v>●</v>
      </c>
      <c r="F7" s="12" t="str">
        <f aca="false">IF(MOD(F$5,$B7)=0,"●","")</f>
        <v>●</v>
      </c>
      <c r="G7" s="12" t="str">
        <f aca="false">IF(MOD(G$5,$B7)=0,"●","")</f>
        <v>●</v>
      </c>
      <c r="H7" s="12" t="str">
        <f aca="false">IF(MOD(H$5,$B7)=0,"●","")</f>
        <v>●</v>
      </c>
      <c r="I7" s="12" t="str">
        <f aca="false">IF(MOD(I$5,$B7)=0,"●","")</f>
        <v>●</v>
      </c>
      <c r="J7" s="12" t="str">
        <f aca="false">IF(MOD(J$5,$B7)=0,"●","")</f>
        <v>●</v>
      </c>
      <c r="K7" s="12" t="str">
        <f aca="false">IF(MOD(K$5,$B7)=0,"●","")</f>
        <v>●</v>
      </c>
      <c r="L7" s="12" t="str">
        <f aca="false">IF(MOD(L$5,$B7)=0,"●","")</f>
        <v>●</v>
      </c>
      <c r="M7" s="12" t="str">
        <f aca="false">IF(MOD(M$5,$B7)=0,"●","")</f>
        <v>●</v>
      </c>
      <c r="N7" s="12" t="str">
        <f aca="false">IF(MOD(N$5,$B7)=0,"●","")</f>
        <v>●</v>
      </c>
      <c r="O7" s="12" t="str">
        <f aca="false">IF(MOD(O$5,$B7)=0,"●","")</f>
        <v>●</v>
      </c>
      <c r="P7" s="12" t="str">
        <f aca="false">IF(MOD(P$5,$B7)=0,"●","")</f>
        <v>●</v>
      </c>
      <c r="Q7" s="12" t="str">
        <f aca="false">IF(MOD(Q$5,$B7)=0,"●","")</f>
        <v>●</v>
      </c>
      <c r="R7" s="12" t="str">
        <f aca="false">IF(MOD(R$5,$B7)=0,"●","")</f>
        <v>●</v>
      </c>
      <c r="S7" s="12" t="str">
        <f aca="false">IF(MOD(S$5,$B7)=0,"●","")</f>
        <v>●</v>
      </c>
      <c r="T7" s="12" t="str">
        <f aca="false">IF(MOD(T$5,$B7)=0,"●","")</f>
        <v>●</v>
      </c>
      <c r="U7" s="12" t="str">
        <f aca="false">IF(MOD(U$5,$B7)=0,"●","")</f>
        <v>●</v>
      </c>
      <c r="V7" s="12" t="str">
        <f aca="false">IF(MOD(V$5,$B7)=0,"●","")</f>
        <v>●</v>
      </c>
      <c r="W7" s="12" t="str">
        <f aca="false">IF(MOD(W$5,$B7)=0,"●","")</f>
        <v>●</v>
      </c>
      <c r="X7" s="12" t="str">
        <f aca="false">IF(MOD(X$5,$B7)=0,"●","")</f>
        <v>●</v>
      </c>
      <c r="Y7" s="12" t="str">
        <f aca="false">IF(MOD(Y$5,$B7)=0,"●","")</f>
        <v>●</v>
      </c>
      <c r="Z7" s="12" t="str">
        <f aca="false">IF(MOD(Z$5,$B7)=0,"●","")</f>
        <v>●</v>
      </c>
      <c r="AA7" s="12" t="str">
        <f aca="false">IF(MOD(AA$5,$B7)=0,"●","")</f>
        <v>●</v>
      </c>
      <c r="AB7" s="12" t="str">
        <f aca="false">IF(MOD(AB$5,$B7)=0,"●","")</f>
        <v>●</v>
      </c>
      <c r="AC7" s="12" t="str">
        <f aca="false">IF(MOD(AC$5,$B7)=0,"●","")</f>
        <v>●</v>
      </c>
      <c r="AD7" s="12" t="str">
        <f aca="false">IF(MOD(AD$5,$B7)=0,"●","")</f>
        <v>●</v>
      </c>
      <c r="AE7" s="12" t="str">
        <f aca="false">IF(MOD(AE$5,$B7)=0,"●","")</f>
        <v>●</v>
      </c>
      <c r="AF7" s="12" t="str">
        <f aca="false">IF(MOD(AF$5,$B7)=0,"●","")</f>
        <v>●</v>
      </c>
      <c r="AG7" s="12" t="str">
        <f aca="false">IF(MOD(AG$5,$B7)=0,"●","")</f>
        <v>●</v>
      </c>
      <c r="AH7" s="12" t="str">
        <f aca="false">IF(MOD(AH$5,$B7)=0,"●","")</f>
        <v>●</v>
      </c>
      <c r="AI7" s="12" t="str">
        <f aca="false">IF(MOD(AI$5,$B7)=0,"●","")</f>
        <v>●</v>
      </c>
      <c r="AJ7" s="12" t="str">
        <f aca="false">IF(MOD(AJ$5,$B7)=0,"●","")</f>
        <v>●</v>
      </c>
      <c r="AK7" s="12" t="str">
        <f aca="false">IF(MOD(AK$5,$B7)=0,"●","")</f>
        <v>●</v>
      </c>
      <c r="AL7" s="12" t="str">
        <f aca="false">IF(MOD(AL$5,$B7)=0,"●","")</f>
        <v>●</v>
      </c>
      <c r="AM7" s="12" t="str">
        <f aca="false">IF(MOD(AM$5,$B7)=0,"●","")</f>
        <v>●</v>
      </c>
      <c r="AN7" s="12" t="str">
        <f aca="false">IF(MOD(AN$5,$B7)=0,"●","")</f>
        <v>●</v>
      </c>
      <c r="AO7" s="12" t="str">
        <f aca="false">IF(MOD(AO$5,$B7)=0,"●","")</f>
        <v>●</v>
      </c>
      <c r="AP7" s="12" t="str">
        <f aca="false">IF(MOD(AP$5,$B7)=0,"●","")</f>
        <v>●</v>
      </c>
      <c r="AQ7" s="12" t="str">
        <f aca="false">IF(MOD(AQ$5,$B7)=0,"●","")</f>
        <v>●</v>
      </c>
      <c r="AR7" s="12" t="str">
        <f aca="false">IF(MOD(AR$5,$B7)=0,"●","")</f>
        <v>●</v>
      </c>
      <c r="AS7" s="12" t="str">
        <f aca="false">IF(MOD(AS$5,$B7)=0,"●","")</f>
        <v>●</v>
      </c>
      <c r="AT7" s="12" t="str">
        <f aca="false">IF(MOD(AT$5,$B7)=0,"●","")</f>
        <v>●</v>
      </c>
      <c r="AU7" s="12" t="str">
        <f aca="false">IF(MOD(AU$5,$B7)=0,"●","")</f>
        <v>●</v>
      </c>
      <c r="AV7" s="12" t="str">
        <f aca="false">IF(MOD(AV$5,$B7)=0,"●","")</f>
        <v>●</v>
      </c>
      <c r="AW7" s="12" t="str">
        <f aca="false">IF(MOD(AW$5,$B7)=0,"●","")</f>
        <v>●</v>
      </c>
      <c r="AX7" s="12" t="str">
        <f aca="false">IF(MOD(AX$5,$B7)=0,"●","")</f>
        <v>●</v>
      </c>
      <c r="AY7" s="12" t="str">
        <f aca="false">IF(MOD(AY$5,$B7)=0,"●","")</f>
        <v>●</v>
      </c>
      <c r="AZ7" s="12" t="str">
        <f aca="false">IF(MOD(AZ$5,$B7)=0,"●","")</f>
        <v>●</v>
      </c>
      <c r="BA7" s="12" t="str">
        <f aca="false">IF(MOD(BA$5,$B7)=0,"●","")</f>
        <v>●</v>
      </c>
      <c r="BB7" s="12" t="str">
        <f aca="false">IF(MOD(BB$5,$B7)=0,"●","")</f>
        <v>●</v>
      </c>
    </row>
    <row r="8" customFormat="false" ht="15" hidden="false" customHeight="false" outlineLevel="0" collapsed="false">
      <c r="A8" s="25" t="s">
        <v>563</v>
      </c>
      <c r="B8" s="18" t="n">
        <v>1</v>
      </c>
      <c r="C8" s="12" t="str">
        <f aca="false">IF(MOD(C$5,$B8)=0,"●","")</f>
        <v>●</v>
      </c>
      <c r="D8" s="12" t="str">
        <f aca="false">IF(MOD(D$5,$B8)=0,"●","")</f>
        <v>●</v>
      </c>
      <c r="E8" s="12" t="str">
        <f aca="false">IF(MOD(E$5,$B8)=0,"●","")</f>
        <v>●</v>
      </c>
      <c r="F8" s="12" t="str">
        <f aca="false">IF(MOD(F$5,$B8)=0,"●","")</f>
        <v>●</v>
      </c>
      <c r="G8" s="12" t="str">
        <f aca="false">IF(MOD(G$5,$B8)=0,"●","")</f>
        <v>●</v>
      </c>
      <c r="H8" s="12" t="str">
        <f aca="false">IF(MOD(H$5,$B8)=0,"●","")</f>
        <v>●</v>
      </c>
      <c r="I8" s="12" t="str">
        <f aca="false">IF(MOD(I$5,$B8)=0,"●","")</f>
        <v>●</v>
      </c>
      <c r="J8" s="12" t="str">
        <f aca="false">IF(MOD(J$5,$B8)=0,"●","")</f>
        <v>●</v>
      </c>
      <c r="K8" s="12" t="str">
        <f aca="false">IF(MOD(K$5,$B8)=0,"●","")</f>
        <v>●</v>
      </c>
      <c r="L8" s="12" t="str">
        <f aca="false">IF(MOD(L$5,$B8)=0,"●","")</f>
        <v>●</v>
      </c>
      <c r="M8" s="12" t="str">
        <f aca="false">IF(MOD(M$5,$B8)=0,"●","")</f>
        <v>●</v>
      </c>
      <c r="N8" s="12" t="str">
        <f aca="false">IF(MOD(N$5,$B8)=0,"●","")</f>
        <v>●</v>
      </c>
      <c r="O8" s="12" t="str">
        <f aca="false">IF(MOD(O$5,$B8)=0,"●","")</f>
        <v>●</v>
      </c>
      <c r="P8" s="12" t="str">
        <f aca="false">IF(MOD(P$5,$B8)=0,"●","")</f>
        <v>●</v>
      </c>
      <c r="Q8" s="12" t="str">
        <f aca="false">IF(MOD(Q$5,$B8)=0,"●","")</f>
        <v>●</v>
      </c>
      <c r="R8" s="12" t="str">
        <f aca="false">IF(MOD(R$5,$B8)=0,"●","")</f>
        <v>●</v>
      </c>
      <c r="S8" s="12" t="str">
        <f aca="false">IF(MOD(S$5,$B8)=0,"●","")</f>
        <v>●</v>
      </c>
      <c r="T8" s="12" t="str">
        <f aca="false">IF(MOD(T$5,$B8)=0,"●","")</f>
        <v>●</v>
      </c>
      <c r="U8" s="12" t="str">
        <f aca="false">IF(MOD(U$5,$B8)=0,"●","")</f>
        <v>●</v>
      </c>
      <c r="V8" s="12" t="str">
        <f aca="false">IF(MOD(V$5,$B8)=0,"●","")</f>
        <v>●</v>
      </c>
      <c r="W8" s="12" t="str">
        <f aca="false">IF(MOD(W$5,$B8)=0,"●","")</f>
        <v>●</v>
      </c>
      <c r="X8" s="12" t="str">
        <f aca="false">IF(MOD(X$5,$B8)=0,"●","")</f>
        <v>●</v>
      </c>
      <c r="Y8" s="12" t="str">
        <f aca="false">IF(MOD(Y$5,$B8)=0,"●","")</f>
        <v>●</v>
      </c>
      <c r="Z8" s="12" t="str">
        <f aca="false">IF(MOD(Z$5,$B8)=0,"●","")</f>
        <v>●</v>
      </c>
      <c r="AA8" s="12" t="str">
        <f aca="false">IF(MOD(AA$5,$B8)=0,"●","")</f>
        <v>●</v>
      </c>
      <c r="AB8" s="12" t="str">
        <f aca="false">IF(MOD(AB$5,$B8)=0,"●","")</f>
        <v>●</v>
      </c>
      <c r="AC8" s="12" t="str">
        <f aca="false">IF(MOD(AC$5,$B8)=0,"●","")</f>
        <v>●</v>
      </c>
      <c r="AD8" s="12" t="str">
        <f aca="false">IF(MOD(AD$5,$B8)=0,"●","")</f>
        <v>●</v>
      </c>
      <c r="AE8" s="12" t="str">
        <f aca="false">IF(MOD(AE$5,$B8)=0,"●","")</f>
        <v>●</v>
      </c>
      <c r="AF8" s="12" t="str">
        <f aca="false">IF(MOD(AF$5,$B8)=0,"●","")</f>
        <v>●</v>
      </c>
      <c r="AG8" s="12" t="str">
        <f aca="false">IF(MOD(AG$5,$B8)=0,"●","")</f>
        <v>●</v>
      </c>
      <c r="AH8" s="12" t="str">
        <f aca="false">IF(MOD(AH$5,$B8)=0,"●","")</f>
        <v>●</v>
      </c>
      <c r="AI8" s="12" t="str">
        <f aca="false">IF(MOD(AI$5,$B8)=0,"●","")</f>
        <v>●</v>
      </c>
      <c r="AJ8" s="12" t="str">
        <f aca="false">IF(MOD(AJ$5,$B8)=0,"●","")</f>
        <v>●</v>
      </c>
      <c r="AK8" s="12" t="str">
        <f aca="false">IF(MOD(AK$5,$B8)=0,"●","")</f>
        <v>●</v>
      </c>
      <c r="AL8" s="12" t="str">
        <f aca="false">IF(MOD(AL$5,$B8)=0,"●","")</f>
        <v>●</v>
      </c>
      <c r="AM8" s="12" t="str">
        <f aca="false">IF(MOD(AM$5,$B8)=0,"●","")</f>
        <v>●</v>
      </c>
      <c r="AN8" s="12" t="str">
        <f aca="false">IF(MOD(AN$5,$B8)=0,"●","")</f>
        <v>●</v>
      </c>
      <c r="AO8" s="12" t="str">
        <f aca="false">IF(MOD(AO$5,$B8)=0,"●","")</f>
        <v>●</v>
      </c>
      <c r="AP8" s="12" t="str">
        <f aca="false">IF(MOD(AP$5,$B8)=0,"●","")</f>
        <v>●</v>
      </c>
      <c r="AQ8" s="12" t="str">
        <f aca="false">IF(MOD(AQ$5,$B8)=0,"●","")</f>
        <v>●</v>
      </c>
      <c r="AR8" s="12" t="str">
        <f aca="false">IF(MOD(AR$5,$B8)=0,"●","")</f>
        <v>●</v>
      </c>
      <c r="AS8" s="12" t="str">
        <f aca="false">IF(MOD(AS$5,$B8)=0,"●","")</f>
        <v>●</v>
      </c>
      <c r="AT8" s="12" t="str">
        <f aca="false">IF(MOD(AT$5,$B8)=0,"●","")</f>
        <v>●</v>
      </c>
      <c r="AU8" s="12" t="str">
        <f aca="false">IF(MOD(AU$5,$B8)=0,"●","")</f>
        <v>●</v>
      </c>
      <c r="AV8" s="12" t="str">
        <f aca="false">IF(MOD(AV$5,$B8)=0,"●","")</f>
        <v>●</v>
      </c>
      <c r="AW8" s="12" t="str">
        <f aca="false">IF(MOD(AW$5,$B8)=0,"●","")</f>
        <v>●</v>
      </c>
      <c r="AX8" s="12" t="str">
        <f aca="false">IF(MOD(AX$5,$B8)=0,"●","")</f>
        <v>●</v>
      </c>
      <c r="AY8" s="12" t="str">
        <f aca="false">IF(MOD(AY$5,$B8)=0,"●","")</f>
        <v>●</v>
      </c>
      <c r="AZ8" s="12" t="str">
        <f aca="false">IF(MOD(AZ$5,$B8)=0,"●","")</f>
        <v>●</v>
      </c>
      <c r="BA8" s="12" t="str">
        <f aca="false">IF(MOD(BA$5,$B8)=0,"●","")</f>
        <v>●</v>
      </c>
      <c r="BB8" s="12" t="str">
        <f aca="false">IF(MOD(BB$5,$B8)=0,"●","")</f>
        <v>●</v>
      </c>
    </row>
    <row r="9" customFormat="false" ht="15" hidden="false" customHeight="false" outlineLevel="0" collapsed="false">
      <c r="A9" s="25" t="s">
        <v>564</v>
      </c>
      <c r="B9" s="18" t="n">
        <v>4</v>
      </c>
      <c r="C9" s="12" t="str">
        <f aca="false">IF(MOD(C$5,$B9)=0,"●","")</f>
        <v/>
      </c>
      <c r="D9" s="12" t="str">
        <f aca="false">IF(MOD(D$5,$B9)=0,"●","")</f>
        <v/>
      </c>
      <c r="E9" s="12" t="str">
        <f aca="false">IF(MOD(E$5,$B9)=0,"●","")</f>
        <v/>
      </c>
      <c r="F9" s="12" t="str">
        <f aca="false">IF(MOD(F$5,$B9)=0,"●","")</f>
        <v>●</v>
      </c>
      <c r="G9" s="12" t="str">
        <f aca="false">IF(MOD(G$5,$B9)=0,"●","")</f>
        <v/>
      </c>
      <c r="H9" s="12" t="str">
        <f aca="false">IF(MOD(H$5,$B9)=0,"●","")</f>
        <v/>
      </c>
      <c r="I9" s="12" t="str">
        <f aca="false">IF(MOD(I$5,$B9)=0,"●","")</f>
        <v/>
      </c>
      <c r="J9" s="12" t="str">
        <f aca="false">IF(MOD(J$5,$B9)=0,"●","")</f>
        <v>●</v>
      </c>
      <c r="K9" s="12" t="str">
        <f aca="false">IF(MOD(K$5,$B9)=0,"●","")</f>
        <v/>
      </c>
      <c r="L9" s="12" t="str">
        <f aca="false">IF(MOD(L$5,$B9)=0,"●","")</f>
        <v/>
      </c>
      <c r="M9" s="12" t="str">
        <f aca="false">IF(MOD(M$5,$B9)=0,"●","")</f>
        <v/>
      </c>
      <c r="N9" s="12" t="str">
        <f aca="false">IF(MOD(N$5,$B9)=0,"●","")</f>
        <v>●</v>
      </c>
      <c r="O9" s="12" t="str">
        <f aca="false">IF(MOD(O$5,$B9)=0,"●","")</f>
        <v/>
      </c>
      <c r="P9" s="12" t="str">
        <f aca="false">IF(MOD(P$5,$B9)=0,"●","")</f>
        <v/>
      </c>
      <c r="Q9" s="12" t="str">
        <f aca="false">IF(MOD(Q$5,$B9)=0,"●","")</f>
        <v/>
      </c>
      <c r="R9" s="12" t="str">
        <f aca="false">IF(MOD(R$5,$B9)=0,"●","")</f>
        <v>●</v>
      </c>
      <c r="S9" s="12" t="str">
        <f aca="false">IF(MOD(S$5,$B9)=0,"●","")</f>
        <v/>
      </c>
      <c r="T9" s="12" t="str">
        <f aca="false">IF(MOD(T$5,$B9)=0,"●","")</f>
        <v/>
      </c>
      <c r="U9" s="12" t="str">
        <f aca="false">IF(MOD(U$5,$B9)=0,"●","")</f>
        <v/>
      </c>
      <c r="V9" s="12" t="str">
        <f aca="false">IF(MOD(V$5,$B9)=0,"●","")</f>
        <v>●</v>
      </c>
      <c r="W9" s="12" t="str">
        <f aca="false">IF(MOD(W$5,$B9)=0,"●","")</f>
        <v/>
      </c>
      <c r="X9" s="12" t="str">
        <f aca="false">IF(MOD(X$5,$B9)=0,"●","")</f>
        <v/>
      </c>
      <c r="Y9" s="12" t="str">
        <f aca="false">IF(MOD(Y$5,$B9)=0,"●","")</f>
        <v/>
      </c>
      <c r="Z9" s="12" t="str">
        <f aca="false">IF(MOD(Z$5,$B9)=0,"●","")</f>
        <v>●</v>
      </c>
      <c r="AA9" s="12" t="str">
        <f aca="false">IF(MOD(AA$5,$B9)=0,"●","")</f>
        <v/>
      </c>
      <c r="AB9" s="12" t="str">
        <f aca="false">IF(MOD(AB$5,$B9)=0,"●","")</f>
        <v/>
      </c>
      <c r="AC9" s="12" t="str">
        <f aca="false">IF(MOD(AC$5,$B9)=0,"●","")</f>
        <v/>
      </c>
      <c r="AD9" s="12" t="str">
        <f aca="false">IF(MOD(AD$5,$B9)=0,"●","")</f>
        <v>●</v>
      </c>
      <c r="AE9" s="12" t="str">
        <f aca="false">IF(MOD(AE$5,$B9)=0,"●","")</f>
        <v/>
      </c>
      <c r="AF9" s="12" t="str">
        <f aca="false">IF(MOD(AF$5,$B9)=0,"●","")</f>
        <v/>
      </c>
      <c r="AG9" s="12" t="str">
        <f aca="false">IF(MOD(AG$5,$B9)=0,"●","")</f>
        <v/>
      </c>
      <c r="AH9" s="12" t="str">
        <f aca="false">IF(MOD(AH$5,$B9)=0,"●","")</f>
        <v>●</v>
      </c>
      <c r="AI9" s="12" t="str">
        <f aca="false">IF(MOD(AI$5,$B9)=0,"●","")</f>
        <v/>
      </c>
      <c r="AJ9" s="12" t="str">
        <f aca="false">IF(MOD(AJ$5,$B9)=0,"●","")</f>
        <v/>
      </c>
      <c r="AK9" s="12" t="str">
        <f aca="false">IF(MOD(AK$5,$B9)=0,"●","")</f>
        <v/>
      </c>
      <c r="AL9" s="12" t="str">
        <f aca="false">IF(MOD(AL$5,$B9)=0,"●","")</f>
        <v>●</v>
      </c>
      <c r="AM9" s="12" t="str">
        <f aca="false">IF(MOD(AM$5,$B9)=0,"●","")</f>
        <v/>
      </c>
      <c r="AN9" s="12" t="str">
        <f aca="false">IF(MOD(AN$5,$B9)=0,"●","")</f>
        <v/>
      </c>
      <c r="AO9" s="12" t="str">
        <f aca="false">IF(MOD(AO$5,$B9)=0,"●","")</f>
        <v/>
      </c>
      <c r="AP9" s="12" t="str">
        <f aca="false">IF(MOD(AP$5,$B9)=0,"●","")</f>
        <v>●</v>
      </c>
      <c r="AQ9" s="12" t="str">
        <f aca="false">IF(MOD(AQ$5,$B9)=0,"●","")</f>
        <v/>
      </c>
      <c r="AR9" s="12" t="str">
        <f aca="false">IF(MOD(AR$5,$B9)=0,"●","")</f>
        <v/>
      </c>
      <c r="AS9" s="12" t="str">
        <f aca="false">IF(MOD(AS$5,$B9)=0,"●","")</f>
        <v/>
      </c>
      <c r="AT9" s="12" t="str">
        <f aca="false">IF(MOD(AT$5,$B9)=0,"●","")</f>
        <v>●</v>
      </c>
      <c r="AU9" s="12" t="str">
        <f aca="false">IF(MOD(AU$5,$B9)=0,"●","")</f>
        <v/>
      </c>
      <c r="AV9" s="12" t="str">
        <f aca="false">IF(MOD(AV$5,$B9)=0,"●","")</f>
        <v/>
      </c>
      <c r="AW9" s="12" t="str">
        <f aca="false">IF(MOD(AW$5,$B9)=0,"●","")</f>
        <v/>
      </c>
      <c r="AX9" s="12" t="str">
        <f aca="false">IF(MOD(AX$5,$B9)=0,"●","")</f>
        <v>●</v>
      </c>
      <c r="AY9" s="12" t="str">
        <f aca="false">IF(MOD(AY$5,$B9)=0,"●","")</f>
        <v/>
      </c>
      <c r="AZ9" s="12" t="str">
        <f aca="false">IF(MOD(AZ$5,$B9)=0,"●","")</f>
        <v/>
      </c>
      <c r="BA9" s="12" t="str">
        <f aca="false">IF(MOD(BA$5,$B9)=0,"●","")</f>
        <v/>
      </c>
      <c r="BB9" s="12" t="str">
        <f aca="false">IF(MOD(BB$5,$B9)=0,"●","")</f>
        <v>●</v>
      </c>
    </row>
    <row r="10" customFormat="false" ht="15" hidden="false" customHeight="false" outlineLevel="0" collapsed="false">
      <c r="A10" s="25" t="s">
        <v>565</v>
      </c>
      <c r="B10" s="18" t="n">
        <v>10</v>
      </c>
      <c r="C10" s="12" t="str">
        <f aca="false">IF(MOD(C$5,$B10)=0,"●","")</f>
        <v/>
      </c>
      <c r="D10" s="12" t="str">
        <f aca="false">IF(MOD(D$5,$B10)=0,"●","")</f>
        <v/>
      </c>
      <c r="E10" s="12" t="str">
        <f aca="false">IF(MOD(E$5,$B10)=0,"●","")</f>
        <v/>
      </c>
      <c r="F10" s="12" t="str">
        <f aca="false">IF(MOD(F$5,$B10)=0,"●","")</f>
        <v/>
      </c>
      <c r="G10" s="12" t="str">
        <f aca="false">IF(MOD(G$5,$B10)=0,"●","")</f>
        <v/>
      </c>
      <c r="H10" s="12" t="str">
        <f aca="false">IF(MOD(H$5,$B10)=0,"●","")</f>
        <v/>
      </c>
      <c r="I10" s="12" t="str">
        <f aca="false">IF(MOD(I$5,$B10)=0,"●","")</f>
        <v/>
      </c>
      <c r="J10" s="12" t="str">
        <f aca="false">IF(MOD(J$5,$B10)=0,"●","")</f>
        <v/>
      </c>
      <c r="K10" s="12" t="str">
        <f aca="false">IF(MOD(K$5,$B10)=0,"●","")</f>
        <v/>
      </c>
      <c r="L10" s="12" t="str">
        <f aca="false">IF(MOD(L$5,$B10)=0,"●","")</f>
        <v>●</v>
      </c>
      <c r="M10" s="12" t="str">
        <f aca="false">IF(MOD(M$5,$B10)=0,"●","")</f>
        <v/>
      </c>
      <c r="N10" s="12" t="str">
        <f aca="false">IF(MOD(N$5,$B10)=0,"●","")</f>
        <v/>
      </c>
      <c r="O10" s="12" t="str">
        <f aca="false">IF(MOD(O$5,$B10)=0,"●","")</f>
        <v/>
      </c>
      <c r="P10" s="12" t="str">
        <f aca="false">IF(MOD(P$5,$B10)=0,"●","")</f>
        <v/>
      </c>
      <c r="Q10" s="12" t="str">
        <f aca="false">IF(MOD(Q$5,$B10)=0,"●","")</f>
        <v/>
      </c>
      <c r="R10" s="12" t="str">
        <f aca="false">IF(MOD(R$5,$B10)=0,"●","")</f>
        <v/>
      </c>
      <c r="S10" s="12" t="str">
        <f aca="false">IF(MOD(S$5,$B10)=0,"●","")</f>
        <v/>
      </c>
      <c r="T10" s="12" t="str">
        <f aca="false">IF(MOD(T$5,$B10)=0,"●","")</f>
        <v/>
      </c>
      <c r="U10" s="12" t="str">
        <f aca="false">IF(MOD(U$5,$B10)=0,"●","")</f>
        <v/>
      </c>
      <c r="V10" s="12" t="str">
        <f aca="false">IF(MOD(V$5,$B10)=0,"●","")</f>
        <v>●</v>
      </c>
      <c r="W10" s="12" t="str">
        <f aca="false">IF(MOD(W$5,$B10)=0,"●","")</f>
        <v/>
      </c>
      <c r="X10" s="12" t="str">
        <f aca="false">IF(MOD(X$5,$B10)=0,"●","")</f>
        <v/>
      </c>
      <c r="Y10" s="12" t="str">
        <f aca="false">IF(MOD(Y$5,$B10)=0,"●","")</f>
        <v/>
      </c>
      <c r="Z10" s="12" t="str">
        <f aca="false">IF(MOD(Z$5,$B10)=0,"●","")</f>
        <v/>
      </c>
      <c r="AA10" s="12" t="str">
        <f aca="false">IF(MOD(AA$5,$B10)=0,"●","")</f>
        <v/>
      </c>
      <c r="AB10" s="12" t="str">
        <f aca="false">IF(MOD(AB$5,$B10)=0,"●","")</f>
        <v/>
      </c>
      <c r="AC10" s="12" t="str">
        <f aca="false">IF(MOD(AC$5,$B10)=0,"●","")</f>
        <v/>
      </c>
      <c r="AD10" s="12" t="str">
        <f aca="false">IF(MOD(AD$5,$B10)=0,"●","")</f>
        <v/>
      </c>
      <c r="AE10" s="12" t="str">
        <f aca="false">IF(MOD(AE$5,$B10)=0,"●","")</f>
        <v/>
      </c>
      <c r="AF10" s="12" t="str">
        <f aca="false">IF(MOD(AF$5,$B10)=0,"●","")</f>
        <v>●</v>
      </c>
      <c r="AG10" s="12" t="str">
        <f aca="false">IF(MOD(AG$5,$B10)=0,"●","")</f>
        <v/>
      </c>
      <c r="AH10" s="12" t="str">
        <f aca="false">IF(MOD(AH$5,$B10)=0,"●","")</f>
        <v/>
      </c>
      <c r="AI10" s="12" t="str">
        <f aca="false">IF(MOD(AI$5,$B10)=0,"●","")</f>
        <v/>
      </c>
      <c r="AJ10" s="12" t="str">
        <f aca="false">IF(MOD(AJ$5,$B10)=0,"●","")</f>
        <v/>
      </c>
      <c r="AK10" s="12" t="str">
        <f aca="false">IF(MOD(AK$5,$B10)=0,"●","")</f>
        <v/>
      </c>
      <c r="AL10" s="12" t="str">
        <f aca="false">IF(MOD(AL$5,$B10)=0,"●","")</f>
        <v/>
      </c>
      <c r="AM10" s="12" t="str">
        <f aca="false">IF(MOD(AM$5,$B10)=0,"●","")</f>
        <v/>
      </c>
      <c r="AN10" s="12" t="str">
        <f aca="false">IF(MOD(AN$5,$B10)=0,"●","")</f>
        <v/>
      </c>
      <c r="AO10" s="12" t="str">
        <f aca="false">IF(MOD(AO$5,$B10)=0,"●","")</f>
        <v/>
      </c>
      <c r="AP10" s="12" t="str">
        <f aca="false">IF(MOD(AP$5,$B10)=0,"●","")</f>
        <v>●</v>
      </c>
      <c r="AQ10" s="12" t="str">
        <f aca="false">IF(MOD(AQ$5,$B10)=0,"●","")</f>
        <v/>
      </c>
      <c r="AR10" s="12" t="str">
        <f aca="false">IF(MOD(AR$5,$B10)=0,"●","")</f>
        <v/>
      </c>
      <c r="AS10" s="12" t="str">
        <f aca="false">IF(MOD(AS$5,$B10)=0,"●","")</f>
        <v/>
      </c>
      <c r="AT10" s="12" t="str">
        <f aca="false">IF(MOD(AT$5,$B10)=0,"●","")</f>
        <v/>
      </c>
      <c r="AU10" s="12" t="str">
        <f aca="false">IF(MOD(AU$5,$B10)=0,"●","")</f>
        <v/>
      </c>
      <c r="AV10" s="12" t="str">
        <f aca="false">IF(MOD(AV$5,$B10)=0,"●","")</f>
        <v/>
      </c>
      <c r="AW10" s="12" t="str">
        <f aca="false">IF(MOD(AW$5,$B10)=0,"●","")</f>
        <v/>
      </c>
      <c r="AX10" s="12" t="str">
        <f aca="false">IF(MOD(AX$5,$B10)=0,"●","")</f>
        <v/>
      </c>
      <c r="AY10" s="12" t="str">
        <f aca="false">IF(MOD(AY$5,$B10)=0,"●","")</f>
        <v/>
      </c>
      <c r="AZ10" s="12" t="str">
        <f aca="false">IF(MOD(AZ$5,$B10)=0,"●","")</f>
        <v>●</v>
      </c>
      <c r="BA10" s="12" t="str">
        <f aca="false">IF(MOD(BA$5,$B10)=0,"●","")</f>
        <v/>
      </c>
      <c r="BB10" s="12" t="str">
        <f aca="false">IF(MOD(BB$5,$B10)=0,"●","")</f>
        <v/>
      </c>
    </row>
    <row r="11" customFormat="false" ht="15" hidden="false" customHeight="false" outlineLevel="0" collapsed="false">
      <c r="A11" s="25" t="s">
        <v>566</v>
      </c>
      <c r="B11" s="18" t="n">
        <v>13</v>
      </c>
      <c r="C11" s="12" t="str">
        <f aca="false">IF(MOD(C$5,$B11)=0,"●","")</f>
        <v/>
      </c>
      <c r="D11" s="12" t="str">
        <f aca="false">IF(MOD(D$5,$B11)=0,"●","")</f>
        <v/>
      </c>
      <c r="E11" s="12" t="str">
        <f aca="false">IF(MOD(E$5,$B11)=0,"●","")</f>
        <v/>
      </c>
      <c r="F11" s="12" t="str">
        <f aca="false">IF(MOD(F$5,$B11)=0,"●","")</f>
        <v/>
      </c>
      <c r="G11" s="12" t="str">
        <f aca="false">IF(MOD(G$5,$B11)=0,"●","")</f>
        <v/>
      </c>
      <c r="H11" s="12" t="str">
        <f aca="false">IF(MOD(H$5,$B11)=0,"●","")</f>
        <v/>
      </c>
      <c r="I11" s="12" t="str">
        <f aca="false">IF(MOD(I$5,$B11)=0,"●","")</f>
        <v/>
      </c>
      <c r="J11" s="12" t="str">
        <f aca="false">IF(MOD(J$5,$B11)=0,"●","")</f>
        <v/>
      </c>
      <c r="K11" s="12" t="str">
        <f aca="false">IF(MOD(K$5,$B11)=0,"●","")</f>
        <v/>
      </c>
      <c r="L11" s="12" t="str">
        <f aca="false">IF(MOD(L$5,$B11)=0,"●","")</f>
        <v/>
      </c>
      <c r="M11" s="12" t="str">
        <f aca="false">IF(MOD(M$5,$B11)=0,"●","")</f>
        <v/>
      </c>
      <c r="N11" s="12" t="str">
        <f aca="false">IF(MOD(N$5,$B11)=0,"●","")</f>
        <v/>
      </c>
      <c r="O11" s="12" t="str">
        <f aca="false">IF(MOD(O$5,$B11)=0,"●","")</f>
        <v>●</v>
      </c>
      <c r="P11" s="12" t="str">
        <f aca="false">IF(MOD(P$5,$B11)=0,"●","")</f>
        <v/>
      </c>
      <c r="Q11" s="12" t="str">
        <f aca="false">IF(MOD(Q$5,$B11)=0,"●","")</f>
        <v/>
      </c>
      <c r="R11" s="12" t="str">
        <f aca="false">IF(MOD(R$5,$B11)=0,"●","")</f>
        <v/>
      </c>
      <c r="S11" s="12" t="str">
        <f aca="false">IF(MOD(S$5,$B11)=0,"●","")</f>
        <v/>
      </c>
      <c r="T11" s="12" t="str">
        <f aca="false">IF(MOD(T$5,$B11)=0,"●","")</f>
        <v/>
      </c>
      <c r="U11" s="12" t="str">
        <f aca="false">IF(MOD(U$5,$B11)=0,"●","")</f>
        <v/>
      </c>
      <c r="V11" s="12" t="str">
        <f aca="false">IF(MOD(V$5,$B11)=0,"●","")</f>
        <v/>
      </c>
      <c r="W11" s="12" t="str">
        <f aca="false">IF(MOD(W$5,$B11)=0,"●","")</f>
        <v/>
      </c>
      <c r="X11" s="12" t="str">
        <f aca="false">IF(MOD(X$5,$B11)=0,"●","")</f>
        <v/>
      </c>
      <c r="Y11" s="12" t="str">
        <f aca="false">IF(MOD(Y$5,$B11)=0,"●","")</f>
        <v/>
      </c>
      <c r="Z11" s="12" t="str">
        <f aca="false">IF(MOD(Z$5,$B11)=0,"●","")</f>
        <v/>
      </c>
      <c r="AA11" s="12" t="str">
        <f aca="false">IF(MOD(AA$5,$B11)=0,"●","")</f>
        <v/>
      </c>
      <c r="AB11" s="12" t="str">
        <f aca="false">IF(MOD(AB$5,$B11)=0,"●","")</f>
        <v>●</v>
      </c>
      <c r="AC11" s="12" t="str">
        <f aca="false">IF(MOD(AC$5,$B11)=0,"●","")</f>
        <v/>
      </c>
      <c r="AD11" s="12" t="str">
        <f aca="false">IF(MOD(AD$5,$B11)=0,"●","")</f>
        <v/>
      </c>
      <c r="AE11" s="12" t="str">
        <f aca="false">IF(MOD(AE$5,$B11)=0,"●","")</f>
        <v/>
      </c>
      <c r="AF11" s="12" t="str">
        <f aca="false">IF(MOD(AF$5,$B11)=0,"●","")</f>
        <v/>
      </c>
      <c r="AG11" s="12" t="str">
        <f aca="false">IF(MOD(AG$5,$B11)=0,"●","")</f>
        <v/>
      </c>
      <c r="AH11" s="12" t="str">
        <f aca="false">IF(MOD(AH$5,$B11)=0,"●","")</f>
        <v/>
      </c>
      <c r="AI11" s="12" t="str">
        <f aca="false">IF(MOD(AI$5,$B11)=0,"●","")</f>
        <v/>
      </c>
      <c r="AJ11" s="12" t="str">
        <f aca="false">IF(MOD(AJ$5,$B11)=0,"●","")</f>
        <v/>
      </c>
      <c r="AK11" s="12" t="str">
        <f aca="false">IF(MOD(AK$5,$B11)=0,"●","")</f>
        <v/>
      </c>
      <c r="AL11" s="12" t="str">
        <f aca="false">IF(MOD(AL$5,$B11)=0,"●","")</f>
        <v/>
      </c>
      <c r="AM11" s="12" t="str">
        <f aca="false">IF(MOD(AM$5,$B11)=0,"●","")</f>
        <v/>
      </c>
      <c r="AN11" s="12" t="str">
        <f aca="false">IF(MOD(AN$5,$B11)=0,"●","")</f>
        <v/>
      </c>
      <c r="AO11" s="12" t="str">
        <f aca="false">IF(MOD(AO$5,$B11)=0,"●","")</f>
        <v>●</v>
      </c>
      <c r="AP11" s="12" t="str">
        <f aca="false">IF(MOD(AP$5,$B11)=0,"●","")</f>
        <v/>
      </c>
      <c r="AQ11" s="12" t="str">
        <f aca="false">IF(MOD(AQ$5,$B11)=0,"●","")</f>
        <v/>
      </c>
      <c r="AR11" s="12" t="str">
        <f aca="false">IF(MOD(AR$5,$B11)=0,"●","")</f>
        <v/>
      </c>
      <c r="AS11" s="12" t="str">
        <f aca="false">IF(MOD(AS$5,$B11)=0,"●","")</f>
        <v/>
      </c>
      <c r="AT11" s="12" t="str">
        <f aca="false">IF(MOD(AT$5,$B11)=0,"●","")</f>
        <v/>
      </c>
      <c r="AU11" s="12" t="str">
        <f aca="false">IF(MOD(AU$5,$B11)=0,"●","")</f>
        <v/>
      </c>
      <c r="AV11" s="12" t="str">
        <f aca="false">IF(MOD(AV$5,$B11)=0,"●","")</f>
        <v/>
      </c>
      <c r="AW11" s="12" t="str">
        <f aca="false">IF(MOD(AW$5,$B11)=0,"●","")</f>
        <v/>
      </c>
      <c r="AX11" s="12" t="str">
        <f aca="false">IF(MOD(AX$5,$B11)=0,"●","")</f>
        <v/>
      </c>
      <c r="AY11" s="12" t="str">
        <f aca="false">IF(MOD(AY$5,$B11)=0,"●","")</f>
        <v/>
      </c>
      <c r="AZ11" s="12" t="str">
        <f aca="false">IF(MOD(AZ$5,$B11)=0,"●","")</f>
        <v/>
      </c>
      <c r="BA11" s="12" t="str">
        <f aca="false">IF(MOD(BA$5,$B11)=0,"●","")</f>
        <v/>
      </c>
      <c r="BB11" s="12" t="str">
        <f aca="false">IF(MOD(BB$5,$B11)=0,"●","")</f>
        <v>●</v>
      </c>
    </row>
    <row r="12" customFormat="false" ht="15" hidden="false" customHeight="false" outlineLevel="0" collapsed="false">
      <c r="A12" s="25" t="s">
        <v>567</v>
      </c>
      <c r="B12" s="18" t="n">
        <v>26</v>
      </c>
      <c r="C12" s="12" t="str">
        <f aca="false">IF(MOD(C$5,$B12)=0,"●","")</f>
        <v/>
      </c>
      <c r="D12" s="12" t="str">
        <f aca="false">IF(MOD(D$5,$B12)=0,"●","")</f>
        <v/>
      </c>
      <c r="E12" s="12" t="str">
        <f aca="false">IF(MOD(E$5,$B12)=0,"●","")</f>
        <v/>
      </c>
      <c r="F12" s="12" t="str">
        <f aca="false">IF(MOD(F$5,$B12)=0,"●","")</f>
        <v/>
      </c>
      <c r="G12" s="12" t="str">
        <f aca="false">IF(MOD(G$5,$B12)=0,"●","")</f>
        <v/>
      </c>
      <c r="H12" s="12" t="str">
        <f aca="false">IF(MOD(H$5,$B12)=0,"●","")</f>
        <v/>
      </c>
      <c r="I12" s="12" t="str">
        <f aca="false">IF(MOD(I$5,$B12)=0,"●","")</f>
        <v/>
      </c>
      <c r="J12" s="12" t="str">
        <f aca="false">IF(MOD(J$5,$B12)=0,"●","")</f>
        <v/>
      </c>
      <c r="K12" s="12" t="str">
        <f aca="false">IF(MOD(K$5,$B12)=0,"●","")</f>
        <v/>
      </c>
      <c r="L12" s="12" t="str">
        <f aca="false">IF(MOD(L$5,$B12)=0,"●","")</f>
        <v/>
      </c>
      <c r="M12" s="12" t="str">
        <f aca="false">IF(MOD(M$5,$B12)=0,"●","")</f>
        <v/>
      </c>
      <c r="N12" s="12" t="str">
        <f aca="false">IF(MOD(N$5,$B12)=0,"●","")</f>
        <v/>
      </c>
      <c r="O12" s="12" t="str">
        <f aca="false">IF(MOD(O$5,$B12)=0,"●","")</f>
        <v/>
      </c>
      <c r="P12" s="12" t="str">
        <f aca="false">IF(MOD(P$5,$B12)=0,"●","")</f>
        <v/>
      </c>
      <c r="Q12" s="12" t="str">
        <f aca="false">IF(MOD(Q$5,$B12)=0,"●","")</f>
        <v/>
      </c>
      <c r="R12" s="12" t="str">
        <f aca="false">IF(MOD(R$5,$B12)=0,"●","")</f>
        <v/>
      </c>
      <c r="S12" s="12" t="str">
        <f aca="false">IF(MOD(S$5,$B12)=0,"●","")</f>
        <v/>
      </c>
      <c r="T12" s="12" t="str">
        <f aca="false">IF(MOD(T$5,$B12)=0,"●","")</f>
        <v/>
      </c>
      <c r="U12" s="12" t="str">
        <f aca="false">IF(MOD(U$5,$B12)=0,"●","")</f>
        <v/>
      </c>
      <c r="V12" s="12" t="str">
        <f aca="false">IF(MOD(V$5,$B12)=0,"●","")</f>
        <v/>
      </c>
      <c r="W12" s="12" t="str">
        <f aca="false">IF(MOD(W$5,$B12)=0,"●","")</f>
        <v/>
      </c>
      <c r="X12" s="12" t="str">
        <f aca="false">IF(MOD(X$5,$B12)=0,"●","")</f>
        <v/>
      </c>
      <c r="Y12" s="12" t="str">
        <f aca="false">IF(MOD(Y$5,$B12)=0,"●","")</f>
        <v/>
      </c>
      <c r="Z12" s="12" t="str">
        <f aca="false">IF(MOD(Z$5,$B12)=0,"●","")</f>
        <v/>
      </c>
      <c r="AA12" s="12" t="str">
        <f aca="false">IF(MOD(AA$5,$B12)=0,"●","")</f>
        <v/>
      </c>
      <c r="AB12" s="12" t="str">
        <f aca="false">IF(MOD(AB$5,$B12)=0,"●","")</f>
        <v>●</v>
      </c>
      <c r="AC12" s="12" t="str">
        <f aca="false">IF(MOD(AC$5,$B12)=0,"●","")</f>
        <v/>
      </c>
      <c r="AD12" s="12" t="str">
        <f aca="false">IF(MOD(AD$5,$B12)=0,"●","")</f>
        <v/>
      </c>
      <c r="AE12" s="12" t="str">
        <f aca="false">IF(MOD(AE$5,$B12)=0,"●","")</f>
        <v/>
      </c>
      <c r="AF12" s="12" t="str">
        <f aca="false">IF(MOD(AF$5,$B12)=0,"●","")</f>
        <v/>
      </c>
      <c r="AG12" s="12" t="str">
        <f aca="false">IF(MOD(AG$5,$B12)=0,"●","")</f>
        <v/>
      </c>
      <c r="AH12" s="12" t="str">
        <f aca="false">IF(MOD(AH$5,$B12)=0,"●","")</f>
        <v/>
      </c>
      <c r="AI12" s="12" t="str">
        <f aca="false">IF(MOD(AI$5,$B12)=0,"●","")</f>
        <v/>
      </c>
      <c r="AJ12" s="12" t="str">
        <f aca="false">IF(MOD(AJ$5,$B12)=0,"●","")</f>
        <v/>
      </c>
      <c r="AK12" s="12" t="str">
        <f aca="false">IF(MOD(AK$5,$B12)=0,"●","")</f>
        <v/>
      </c>
      <c r="AL12" s="12" t="str">
        <f aca="false">IF(MOD(AL$5,$B12)=0,"●","")</f>
        <v/>
      </c>
      <c r="AM12" s="12" t="str">
        <f aca="false">IF(MOD(AM$5,$B12)=0,"●","")</f>
        <v/>
      </c>
      <c r="AN12" s="12" t="str">
        <f aca="false">IF(MOD(AN$5,$B12)=0,"●","")</f>
        <v/>
      </c>
      <c r="AO12" s="12" t="str">
        <f aca="false">IF(MOD(AO$5,$B12)=0,"●","")</f>
        <v/>
      </c>
      <c r="AP12" s="12" t="str">
        <f aca="false">IF(MOD(AP$5,$B12)=0,"●","")</f>
        <v/>
      </c>
      <c r="AQ12" s="12" t="str">
        <f aca="false">IF(MOD(AQ$5,$B12)=0,"●","")</f>
        <v/>
      </c>
      <c r="AR12" s="12" t="str">
        <f aca="false">IF(MOD(AR$5,$B12)=0,"●","")</f>
        <v/>
      </c>
      <c r="AS12" s="12" t="str">
        <f aca="false">IF(MOD(AS$5,$B12)=0,"●","")</f>
        <v/>
      </c>
      <c r="AT12" s="12" t="str">
        <f aca="false">IF(MOD(AT$5,$B12)=0,"●","")</f>
        <v/>
      </c>
      <c r="AU12" s="12" t="str">
        <f aca="false">IF(MOD(AU$5,$B12)=0,"●","")</f>
        <v/>
      </c>
      <c r="AV12" s="12" t="str">
        <f aca="false">IF(MOD(AV$5,$B12)=0,"●","")</f>
        <v/>
      </c>
      <c r="AW12" s="12" t="str">
        <f aca="false">IF(MOD(AW$5,$B12)=0,"●","")</f>
        <v/>
      </c>
      <c r="AX12" s="12" t="str">
        <f aca="false">IF(MOD(AX$5,$B12)=0,"●","")</f>
        <v/>
      </c>
      <c r="AY12" s="12" t="str">
        <f aca="false">IF(MOD(AY$5,$B12)=0,"●","")</f>
        <v/>
      </c>
      <c r="AZ12" s="12" t="str">
        <f aca="false">IF(MOD(AZ$5,$B12)=0,"●","")</f>
        <v/>
      </c>
      <c r="BA12" s="12" t="str">
        <f aca="false">IF(MOD(BA$5,$B12)=0,"●","")</f>
        <v/>
      </c>
      <c r="BB12" s="12" t="str">
        <f aca="false">IF(MOD(BB$5,$B12)=0,"●","")</f>
        <v>●</v>
      </c>
    </row>
    <row r="13" customFormat="false" ht="15" hidden="false" customHeight="false" outlineLevel="0" collapsed="false">
      <c r="A13" s="25" t="s">
        <v>568</v>
      </c>
      <c r="B13" s="18" t="n">
        <v>52</v>
      </c>
      <c r="C13" s="12" t="str">
        <f aca="false">IF(MOD(C$5,$B13)=0,"●","")</f>
        <v/>
      </c>
      <c r="D13" s="12" t="str">
        <f aca="false">IF(MOD(D$5,$B13)=0,"●","")</f>
        <v/>
      </c>
      <c r="E13" s="12" t="str">
        <f aca="false">IF(MOD(E$5,$B13)=0,"●","")</f>
        <v/>
      </c>
      <c r="F13" s="12" t="str">
        <f aca="false">IF(MOD(F$5,$B13)=0,"●","")</f>
        <v/>
      </c>
      <c r="G13" s="12" t="str">
        <f aca="false">IF(MOD(G$5,$B13)=0,"●","")</f>
        <v/>
      </c>
      <c r="H13" s="12" t="str">
        <f aca="false">IF(MOD(H$5,$B13)=0,"●","")</f>
        <v/>
      </c>
      <c r="I13" s="12" t="str">
        <f aca="false">IF(MOD(I$5,$B13)=0,"●","")</f>
        <v/>
      </c>
      <c r="J13" s="12" t="str">
        <f aca="false">IF(MOD(J$5,$B13)=0,"●","")</f>
        <v/>
      </c>
      <c r="K13" s="12" t="str">
        <f aca="false">IF(MOD(K$5,$B13)=0,"●","")</f>
        <v/>
      </c>
      <c r="L13" s="12" t="str">
        <f aca="false">IF(MOD(L$5,$B13)=0,"●","")</f>
        <v/>
      </c>
      <c r="M13" s="12" t="str">
        <f aca="false">IF(MOD(M$5,$B13)=0,"●","")</f>
        <v/>
      </c>
      <c r="N13" s="12" t="str">
        <f aca="false">IF(MOD(N$5,$B13)=0,"●","")</f>
        <v/>
      </c>
      <c r="O13" s="12" t="str">
        <f aca="false">IF(MOD(O$5,$B13)=0,"●","")</f>
        <v/>
      </c>
      <c r="P13" s="12" t="str">
        <f aca="false">IF(MOD(P$5,$B13)=0,"●","")</f>
        <v/>
      </c>
      <c r="Q13" s="12" t="str">
        <f aca="false">IF(MOD(Q$5,$B13)=0,"●","")</f>
        <v/>
      </c>
      <c r="R13" s="12" t="str">
        <f aca="false">IF(MOD(R$5,$B13)=0,"●","")</f>
        <v/>
      </c>
      <c r="S13" s="12" t="str">
        <f aca="false">IF(MOD(S$5,$B13)=0,"●","")</f>
        <v/>
      </c>
      <c r="T13" s="12" t="str">
        <f aca="false">IF(MOD(T$5,$B13)=0,"●","")</f>
        <v/>
      </c>
      <c r="U13" s="12" t="str">
        <f aca="false">IF(MOD(U$5,$B13)=0,"●","")</f>
        <v/>
      </c>
      <c r="V13" s="12" t="str">
        <f aca="false">IF(MOD(V$5,$B13)=0,"●","")</f>
        <v/>
      </c>
      <c r="W13" s="12" t="str">
        <f aca="false">IF(MOD(W$5,$B13)=0,"●","")</f>
        <v/>
      </c>
      <c r="X13" s="12" t="str">
        <f aca="false">IF(MOD(X$5,$B13)=0,"●","")</f>
        <v/>
      </c>
      <c r="Y13" s="12" t="str">
        <f aca="false">IF(MOD(Y$5,$B13)=0,"●","")</f>
        <v/>
      </c>
      <c r="Z13" s="12" t="str">
        <f aca="false">IF(MOD(Z$5,$B13)=0,"●","")</f>
        <v/>
      </c>
      <c r="AA13" s="12" t="str">
        <f aca="false">IF(MOD(AA$5,$B13)=0,"●","")</f>
        <v/>
      </c>
      <c r="AB13" s="12" t="str">
        <f aca="false">IF(MOD(AB$5,$B13)=0,"●","")</f>
        <v/>
      </c>
      <c r="AC13" s="12" t="str">
        <f aca="false">IF(MOD(AC$5,$B13)=0,"●","")</f>
        <v/>
      </c>
      <c r="AD13" s="12" t="str">
        <f aca="false">IF(MOD(AD$5,$B13)=0,"●","")</f>
        <v/>
      </c>
      <c r="AE13" s="12" t="str">
        <f aca="false">IF(MOD(AE$5,$B13)=0,"●","")</f>
        <v/>
      </c>
      <c r="AF13" s="12" t="str">
        <f aca="false">IF(MOD(AF$5,$B13)=0,"●","")</f>
        <v/>
      </c>
      <c r="AG13" s="12" t="str">
        <f aca="false">IF(MOD(AG$5,$B13)=0,"●","")</f>
        <v/>
      </c>
      <c r="AH13" s="12" t="str">
        <f aca="false">IF(MOD(AH$5,$B13)=0,"●","")</f>
        <v/>
      </c>
      <c r="AI13" s="12" t="str">
        <f aca="false">IF(MOD(AI$5,$B13)=0,"●","")</f>
        <v/>
      </c>
      <c r="AJ13" s="12" t="str">
        <f aca="false">IF(MOD(AJ$5,$B13)=0,"●","")</f>
        <v/>
      </c>
      <c r="AK13" s="12" t="str">
        <f aca="false">IF(MOD(AK$5,$B13)=0,"●","")</f>
        <v/>
      </c>
      <c r="AL13" s="12" t="str">
        <f aca="false">IF(MOD(AL$5,$B13)=0,"●","")</f>
        <v/>
      </c>
      <c r="AM13" s="12" t="str">
        <f aca="false">IF(MOD(AM$5,$B13)=0,"●","")</f>
        <v/>
      </c>
      <c r="AN13" s="12" t="str">
        <f aca="false">IF(MOD(AN$5,$B13)=0,"●","")</f>
        <v/>
      </c>
      <c r="AO13" s="12" t="str">
        <f aca="false">IF(MOD(AO$5,$B13)=0,"●","")</f>
        <v/>
      </c>
      <c r="AP13" s="12" t="str">
        <f aca="false">IF(MOD(AP$5,$B13)=0,"●","")</f>
        <v/>
      </c>
      <c r="AQ13" s="12" t="str">
        <f aca="false">IF(MOD(AQ$5,$B13)=0,"●","")</f>
        <v/>
      </c>
      <c r="AR13" s="12" t="str">
        <f aca="false">IF(MOD(AR$5,$B13)=0,"●","")</f>
        <v/>
      </c>
      <c r="AS13" s="12" t="str">
        <f aca="false">IF(MOD(AS$5,$B13)=0,"●","")</f>
        <v/>
      </c>
      <c r="AT13" s="12" t="str">
        <f aca="false">IF(MOD(AT$5,$B13)=0,"●","")</f>
        <v/>
      </c>
      <c r="AU13" s="12" t="str">
        <f aca="false">IF(MOD(AU$5,$B13)=0,"●","")</f>
        <v/>
      </c>
      <c r="AV13" s="12" t="str">
        <f aca="false">IF(MOD(AV$5,$B13)=0,"●","")</f>
        <v/>
      </c>
      <c r="AW13" s="12" t="str">
        <f aca="false">IF(MOD(AW$5,$B13)=0,"●","")</f>
        <v/>
      </c>
      <c r="AX13" s="12" t="str">
        <f aca="false">IF(MOD(AX$5,$B13)=0,"●","")</f>
        <v/>
      </c>
      <c r="AY13" s="12" t="str">
        <f aca="false">IF(MOD(AY$5,$B13)=0,"●","")</f>
        <v/>
      </c>
      <c r="AZ13" s="12" t="str">
        <f aca="false">IF(MOD(AZ$5,$B13)=0,"●","")</f>
        <v/>
      </c>
      <c r="BA13" s="12" t="str">
        <f aca="false">IF(MOD(BA$5,$B13)=0,"●","")</f>
        <v/>
      </c>
      <c r="BB13" s="12" t="str">
        <f aca="false">IF(MOD(BB$5,$B13)=0,"●","")</f>
        <v>●</v>
      </c>
    </row>
  </sheetData>
  <conditionalFormatting sqref="C7:BB13">
    <cfRule type="expression" priority="2" aboveAverage="0" equalAverage="0" bottom="0" percent="0" rank="0" text="" dxfId="9">
      <formula>C7="●"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70"/>
    <col collapsed="false" customWidth="true" hidden="false" outlineLevel="0" max="10" min="4" style="0" width="7"/>
  </cols>
  <sheetData>
    <row r="1" customFormat="false" ht="17.35" hidden="false" customHeight="false" outlineLevel="0" collapsed="false">
      <c r="A1" s="1" t="s">
        <v>569</v>
      </c>
    </row>
    <row r="2" customFormat="false" ht="15" hidden="false" customHeight="false" outlineLevel="0" collapsed="false">
      <c r="A2" s="2" t="s">
        <v>570</v>
      </c>
    </row>
    <row r="3" customFormat="false" ht="15" hidden="false" customHeight="false" outlineLevel="0" collapsed="false">
      <c r="A3" s="15" t="s">
        <v>571</v>
      </c>
      <c r="D3" s="15" t="s">
        <v>572</v>
      </c>
      <c r="G3" s="15" t="s">
        <v>573</v>
      </c>
    </row>
    <row r="5" customFormat="false" ht="15" hidden="false" customHeight="false" outlineLevel="0" collapsed="false">
      <c r="A5" s="10" t="s">
        <v>574</v>
      </c>
      <c r="B5" s="10" t="s">
        <v>575</v>
      </c>
      <c r="C5" s="10" t="s">
        <v>576</v>
      </c>
      <c r="D5" s="10" t="s">
        <v>577</v>
      </c>
      <c r="E5" s="10" t="s">
        <v>578</v>
      </c>
      <c r="F5" s="10" t="s">
        <v>579</v>
      </c>
      <c r="G5" s="10" t="s">
        <v>580</v>
      </c>
      <c r="H5" s="10" t="s">
        <v>581</v>
      </c>
      <c r="I5" s="10" t="s">
        <v>582</v>
      </c>
      <c r="J5" s="10" t="s">
        <v>583</v>
      </c>
    </row>
    <row r="6" customFormat="false" ht="30" hidden="false" customHeight="true" outlineLevel="0" collapsed="false">
      <c r="A6" s="12" t="s">
        <v>253</v>
      </c>
      <c r="B6" s="12" t="s">
        <v>575</v>
      </c>
      <c r="C6" s="11" t="s">
        <v>584</v>
      </c>
      <c r="D6" s="11"/>
      <c r="E6" s="11"/>
      <c r="F6" s="11"/>
      <c r="G6" s="11"/>
      <c r="H6" s="11"/>
      <c r="I6" s="11"/>
      <c r="J6" s="11"/>
    </row>
    <row r="7" customFormat="false" ht="30" hidden="false" customHeight="true" outlineLevel="0" collapsed="false">
      <c r="A7" s="12" t="s">
        <v>262</v>
      </c>
      <c r="B7" s="12" t="s">
        <v>575</v>
      </c>
      <c r="C7" s="11" t="s">
        <v>585</v>
      </c>
      <c r="D7" s="11"/>
      <c r="E7" s="11"/>
      <c r="F7" s="11"/>
      <c r="G7" s="11"/>
      <c r="H7" s="11"/>
      <c r="I7" s="11"/>
      <c r="J7" s="11"/>
    </row>
    <row r="8" customFormat="false" ht="30" hidden="false" customHeight="true" outlineLevel="0" collapsed="false">
      <c r="A8" s="12" t="s">
        <v>266</v>
      </c>
      <c r="B8" s="12" t="s">
        <v>575</v>
      </c>
      <c r="C8" s="11" t="s">
        <v>586</v>
      </c>
      <c r="D8" s="11"/>
      <c r="E8" s="11"/>
      <c r="F8" s="11"/>
      <c r="G8" s="11"/>
      <c r="H8" s="11"/>
      <c r="I8" s="11"/>
      <c r="J8" s="11"/>
    </row>
    <row r="9" customFormat="false" ht="30" hidden="false" customHeight="true" outlineLevel="0" collapsed="false">
      <c r="A9" s="12" t="s">
        <v>270</v>
      </c>
      <c r="B9" s="12" t="s">
        <v>575</v>
      </c>
      <c r="C9" s="11" t="s">
        <v>587</v>
      </c>
      <c r="D9" s="11"/>
      <c r="E9" s="11"/>
      <c r="F9" s="11"/>
      <c r="G9" s="11"/>
      <c r="H9" s="11"/>
      <c r="I9" s="11"/>
      <c r="J9" s="11"/>
    </row>
    <row r="10" customFormat="false" ht="30" hidden="false" customHeight="true" outlineLevel="0" collapsed="false">
      <c r="A10" s="12" t="s">
        <v>275</v>
      </c>
      <c r="B10" s="12" t="s">
        <v>575</v>
      </c>
      <c r="C10" s="11" t="s">
        <v>588</v>
      </c>
      <c r="D10" s="11"/>
      <c r="E10" s="11"/>
      <c r="F10" s="11"/>
      <c r="G10" s="11"/>
      <c r="H10" s="11"/>
      <c r="I10" s="11"/>
      <c r="J10" s="11"/>
    </row>
    <row r="11" customFormat="false" ht="30" hidden="false" customHeight="true" outlineLevel="0" collapsed="false">
      <c r="A11" s="12" t="s">
        <v>279</v>
      </c>
      <c r="B11" s="12" t="s">
        <v>575</v>
      </c>
      <c r="C11" s="11" t="s">
        <v>589</v>
      </c>
      <c r="D11" s="11"/>
      <c r="E11" s="11"/>
      <c r="F11" s="11"/>
      <c r="G11" s="11"/>
      <c r="H11" s="11"/>
      <c r="I11" s="11"/>
      <c r="J11" s="11"/>
    </row>
    <row r="12" customFormat="false" ht="30" hidden="false" customHeight="true" outlineLevel="0" collapsed="false">
      <c r="A12" s="12" t="s">
        <v>283</v>
      </c>
      <c r="B12" s="12" t="s">
        <v>575</v>
      </c>
      <c r="C12" s="11" t="s">
        <v>590</v>
      </c>
      <c r="D12" s="11"/>
      <c r="E12" s="11"/>
      <c r="F12" s="11"/>
      <c r="G12" s="11"/>
      <c r="H12" s="11"/>
      <c r="I12" s="11"/>
      <c r="J12" s="11"/>
    </row>
    <row r="13" customFormat="false" ht="30" hidden="false" customHeight="true" outlineLevel="0" collapsed="false">
      <c r="A13" s="12" t="s">
        <v>288</v>
      </c>
      <c r="B13" s="12" t="s">
        <v>575</v>
      </c>
      <c r="C13" s="11" t="s">
        <v>591</v>
      </c>
      <c r="D13" s="11"/>
      <c r="E13" s="11"/>
      <c r="F13" s="11"/>
      <c r="G13" s="11"/>
      <c r="H13" s="11"/>
      <c r="I13" s="11"/>
      <c r="J13" s="11"/>
    </row>
    <row r="14" customFormat="false" ht="30" hidden="false" customHeight="true" outlineLevel="0" collapsed="false">
      <c r="A14" s="12" t="s">
        <v>292</v>
      </c>
      <c r="B14" s="12" t="s">
        <v>575</v>
      </c>
      <c r="C14" s="11" t="s">
        <v>592</v>
      </c>
      <c r="D14" s="11"/>
      <c r="E14" s="11"/>
      <c r="F14" s="11"/>
      <c r="G14" s="11"/>
      <c r="H14" s="11"/>
      <c r="I14" s="11"/>
      <c r="J14" s="11"/>
    </row>
    <row r="15" customFormat="false" ht="30" hidden="false" customHeight="true" outlineLevel="0" collapsed="false">
      <c r="A15" s="12" t="s">
        <v>297</v>
      </c>
      <c r="B15" s="12" t="s">
        <v>575</v>
      </c>
      <c r="C15" s="11" t="s">
        <v>593</v>
      </c>
      <c r="D15" s="11"/>
      <c r="E15" s="11"/>
      <c r="F15" s="11"/>
      <c r="G15" s="11"/>
      <c r="H15" s="11"/>
      <c r="I15" s="11"/>
      <c r="J15" s="11"/>
    </row>
    <row r="16" customFormat="false" ht="30" hidden="false" customHeight="true" outlineLevel="0" collapsed="false">
      <c r="A16" s="12" t="s">
        <v>302</v>
      </c>
      <c r="B16" s="12" t="s">
        <v>575</v>
      </c>
      <c r="C16" s="11" t="s">
        <v>594</v>
      </c>
      <c r="D16" s="11"/>
      <c r="E16" s="11"/>
      <c r="F16" s="11"/>
      <c r="G16" s="11"/>
      <c r="H16" s="11"/>
      <c r="I16" s="11"/>
      <c r="J16" s="11"/>
    </row>
    <row r="17" customFormat="false" ht="30" hidden="false" customHeight="true" outlineLevel="0" collapsed="false">
      <c r="A17" s="12" t="s">
        <v>305</v>
      </c>
      <c r="B17" s="12"/>
      <c r="C17" s="11" t="s">
        <v>595</v>
      </c>
      <c r="D17" s="11"/>
      <c r="E17" s="11"/>
      <c r="F17" s="11"/>
      <c r="G17" s="11"/>
      <c r="H17" s="11"/>
      <c r="I17" s="11"/>
      <c r="J17" s="11"/>
    </row>
    <row r="18" customFormat="false" ht="30" hidden="false" customHeight="true" outlineLevel="0" collapsed="false">
      <c r="A18" s="12" t="s">
        <v>310</v>
      </c>
      <c r="B18" s="12"/>
      <c r="C18" s="11" t="s">
        <v>596</v>
      </c>
      <c r="D18" s="11"/>
      <c r="E18" s="11"/>
      <c r="F18" s="11"/>
      <c r="G18" s="11"/>
      <c r="H18" s="11"/>
      <c r="I18" s="11"/>
      <c r="J18" s="11"/>
    </row>
    <row r="19" customFormat="false" ht="30" hidden="false" customHeight="true" outlineLevel="0" collapsed="false">
      <c r="A19" s="12" t="s">
        <v>315</v>
      </c>
      <c r="B19" s="12"/>
      <c r="C19" s="11" t="s">
        <v>597</v>
      </c>
      <c r="D19" s="11"/>
      <c r="E19" s="11"/>
      <c r="F19" s="11"/>
      <c r="G19" s="11"/>
      <c r="H19" s="11"/>
      <c r="I19" s="11"/>
      <c r="J19" s="11"/>
    </row>
    <row r="20" customFormat="false" ht="30" hidden="false" customHeight="true" outlineLevel="0" collapsed="false">
      <c r="A20" s="12" t="s">
        <v>318</v>
      </c>
      <c r="B20" s="12"/>
      <c r="C20" s="11" t="s">
        <v>598</v>
      </c>
      <c r="D20" s="11"/>
      <c r="E20" s="11"/>
      <c r="F20" s="11"/>
      <c r="G20" s="11"/>
      <c r="H20" s="11"/>
      <c r="I20" s="11"/>
      <c r="J20" s="11"/>
    </row>
    <row r="21" customFormat="false" ht="30" hidden="false" customHeight="true" outlineLevel="0" collapsed="false">
      <c r="A21" s="12" t="s">
        <v>322</v>
      </c>
      <c r="B21" s="12"/>
      <c r="C21" s="11" t="s">
        <v>599</v>
      </c>
      <c r="D21" s="11"/>
      <c r="E21" s="11"/>
      <c r="F21" s="11"/>
      <c r="G21" s="11"/>
      <c r="H21" s="11"/>
      <c r="I21" s="11"/>
      <c r="J21" s="11"/>
    </row>
    <row r="22" customFormat="false" ht="30" hidden="false" customHeight="true" outlineLevel="0" collapsed="false">
      <c r="A22" s="12" t="s">
        <v>327</v>
      </c>
      <c r="B22" s="12"/>
      <c r="C22" s="11" t="s">
        <v>600</v>
      </c>
      <c r="D22" s="11"/>
      <c r="E22" s="11"/>
      <c r="F22" s="11"/>
      <c r="G22" s="11"/>
      <c r="H22" s="11"/>
      <c r="I22" s="11"/>
      <c r="J22" s="11"/>
    </row>
    <row r="23" customFormat="false" ht="30" hidden="false" customHeight="true" outlineLevel="0" collapsed="false">
      <c r="A23" s="12"/>
      <c r="B23" s="12"/>
      <c r="C23" s="26" t="s">
        <v>601</v>
      </c>
      <c r="D23" s="11"/>
      <c r="E23" s="11"/>
      <c r="F23" s="11"/>
      <c r="G23" s="11"/>
      <c r="H23" s="11"/>
      <c r="I23" s="11"/>
      <c r="J23" s="11"/>
    </row>
    <row r="24" customFormat="false" ht="30" hidden="false" customHeight="true" outlineLevel="0" collapsed="false">
      <c r="A24" s="12"/>
      <c r="B24" s="12"/>
      <c r="C24" s="26" t="s">
        <v>602</v>
      </c>
      <c r="D24" s="11"/>
      <c r="E24" s="11"/>
      <c r="F24" s="11"/>
      <c r="G24" s="11"/>
      <c r="H24" s="11"/>
      <c r="I24" s="11"/>
      <c r="J24" s="11"/>
    </row>
    <row r="25" customFormat="false" ht="30" hidden="false" customHeight="true" outlineLevel="0" collapsed="false">
      <c r="A25" s="12"/>
      <c r="B25" s="12"/>
      <c r="C25" s="26" t="s">
        <v>603</v>
      </c>
      <c r="D25" s="11"/>
      <c r="E25" s="11"/>
      <c r="F25" s="11"/>
      <c r="G25" s="11"/>
      <c r="H25" s="11"/>
      <c r="I25" s="11"/>
      <c r="J25" s="11"/>
    </row>
    <row r="26" customFormat="false" ht="30" hidden="false" customHeight="true" outlineLevel="0" collapsed="false">
      <c r="A26" s="12"/>
      <c r="B26" s="12"/>
      <c r="C26" s="26" t="s">
        <v>604</v>
      </c>
      <c r="D26" s="11"/>
      <c r="E26" s="11"/>
      <c r="F26" s="11"/>
      <c r="G26" s="11"/>
      <c r="H26" s="11"/>
      <c r="I26" s="11"/>
      <c r="J26" s="11"/>
    </row>
    <row r="27" customFormat="false" ht="30" hidden="false" customHeight="true" outlineLevel="0" collapsed="false">
      <c r="A27" s="12"/>
      <c r="B27" s="12"/>
      <c r="C27" s="26" t="s">
        <v>605</v>
      </c>
      <c r="D27" s="11"/>
      <c r="E27" s="11"/>
      <c r="F27" s="11"/>
      <c r="G27" s="11"/>
      <c r="H27" s="11"/>
      <c r="I27" s="11"/>
      <c r="J27" s="11"/>
    </row>
    <row r="29" customFormat="false" ht="15" hidden="false" customHeight="false" outlineLevel="0" collapsed="false">
      <c r="A29" s="13" t="s">
        <v>606</v>
      </c>
    </row>
  </sheetData>
  <conditionalFormatting sqref="D6:J22">
    <cfRule type="cellIs" priority="2" operator="equal" aboveAverage="0" equalAverage="0" bottom="0" percent="0" rank="0" text="" dxfId="0">
      <formula>"NC"</formula>
    </cfRule>
  </conditionalFormatting>
  <dataValidations count="1">
    <dataValidation allowBlank="true" errorStyle="stop" operator="between" showDropDown="false" showErrorMessage="false" showInputMessage="false" sqref="D6:J22" type="list">
      <formula1>"C,NC,NA"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" t="s">
        <v>607</v>
      </c>
    </row>
    <row r="2" customFormat="false" ht="15" hidden="false" customHeight="false" outlineLevel="0" collapsed="false">
      <c r="A2" s="2" t="s">
        <v>608</v>
      </c>
    </row>
    <row r="4" customFormat="false" ht="15" hidden="false" customHeight="false" outlineLevel="0" collapsed="false">
      <c r="A4" s="27" t="s">
        <v>609</v>
      </c>
      <c r="B4" s="28"/>
      <c r="C4" s="27" t="s">
        <v>610</v>
      </c>
      <c r="D4" s="28"/>
      <c r="E4" s="27" t="s">
        <v>611</v>
      </c>
      <c r="F4" s="28"/>
    </row>
    <row r="5" customFormat="false" ht="15" hidden="false" customHeight="false" outlineLevel="0" collapsed="false">
      <c r="A5" s="27" t="s">
        <v>612</v>
      </c>
      <c r="B5" s="28"/>
      <c r="C5" s="27" t="s">
        <v>613</v>
      </c>
      <c r="D5" s="28"/>
      <c r="E5" s="27" t="s">
        <v>614</v>
      </c>
      <c r="F5" s="28"/>
    </row>
    <row r="6" customFormat="false" ht="15" hidden="false" customHeight="false" outlineLevel="0" collapsed="false">
      <c r="A6" s="27" t="s">
        <v>615</v>
      </c>
      <c r="B6" s="28"/>
      <c r="C6" s="27" t="s">
        <v>616</v>
      </c>
      <c r="D6" s="28"/>
      <c r="E6" s="27" t="s">
        <v>617</v>
      </c>
      <c r="F6" s="28"/>
    </row>
    <row r="8" customFormat="false" ht="15" hidden="false" customHeight="false" outlineLevel="0" collapsed="false">
      <c r="A8" s="29" t="s">
        <v>618</v>
      </c>
      <c r="B8" s="29" t="s">
        <v>247</v>
      </c>
      <c r="C8" s="29" t="s">
        <v>619</v>
      </c>
      <c r="D8" s="29" t="s">
        <v>620</v>
      </c>
      <c r="E8" s="29" t="s">
        <v>621</v>
      </c>
      <c r="F8" s="29" t="s">
        <v>622</v>
      </c>
    </row>
    <row r="9" customFormat="false" ht="21.75" hidden="false" customHeight="true" outlineLevel="0" collapsed="false">
      <c r="A9" s="30" t="s">
        <v>353</v>
      </c>
      <c r="B9" s="30" t="s">
        <v>356</v>
      </c>
      <c r="C9" s="30" t="s">
        <v>623</v>
      </c>
      <c r="D9" s="30" t="s">
        <v>624</v>
      </c>
      <c r="E9" s="30" t="s">
        <v>625</v>
      </c>
      <c r="F9" s="30" t="s">
        <v>626</v>
      </c>
    </row>
    <row r="10" customFormat="false" ht="21.75" hidden="false" customHeight="true" outlineLevel="0" collapsed="false">
      <c r="A10" s="11"/>
      <c r="B10" s="11"/>
      <c r="C10" s="11"/>
      <c r="D10" s="11"/>
      <c r="E10" s="11"/>
      <c r="F10" s="11"/>
    </row>
    <row r="11" customFormat="false" ht="21.75" hidden="false" customHeight="true" outlineLevel="0" collapsed="false">
      <c r="A11" s="11"/>
      <c r="B11" s="11"/>
      <c r="C11" s="11"/>
      <c r="D11" s="11"/>
      <c r="E11" s="11"/>
      <c r="F11" s="11"/>
    </row>
    <row r="12" customFormat="false" ht="21.75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21.75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21.75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21.75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21.75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21.75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21.75" hidden="false" customHeight="true" outlineLevel="0" collapsed="false">
      <c r="A18" s="11"/>
      <c r="B18" s="11"/>
      <c r="C18" s="11"/>
      <c r="D18" s="11"/>
      <c r="E18" s="11"/>
      <c r="F18" s="11"/>
    </row>
    <row r="19" customFormat="false" ht="21.75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21.75" hidden="false" customHeight="true" outlineLevel="0" collapsed="false">
      <c r="A20" s="11"/>
      <c r="B20" s="11"/>
      <c r="C20" s="11"/>
      <c r="D20" s="11"/>
      <c r="E20" s="11"/>
      <c r="F20" s="11"/>
    </row>
    <row r="22" customFormat="false" ht="15" hidden="false" customHeight="false" outlineLevel="0" collapsed="false">
      <c r="A22" s="31" t="s">
        <v>627</v>
      </c>
      <c r="B22" s="31" t="s">
        <v>628</v>
      </c>
      <c r="C22" s="31" t="s">
        <v>629</v>
      </c>
      <c r="D22" s="31" t="s">
        <v>630</v>
      </c>
    </row>
    <row r="23" customFormat="false" ht="15" hidden="false" customHeight="false" outlineLevel="0" collapsed="false">
      <c r="A23" s="11"/>
      <c r="B23" s="11"/>
      <c r="C23" s="11"/>
      <c r="D23" s="11"/>
    </row>
    <row r="24" customFormat="false" ht="15" hidden="false" customHeight="false" outlineLevel="0" collapsed="false">
      <c r="A24" s="11"/>
      <c r="B24" s="11"/>
      <c r="C24" s="11"/>
      <c r="D24" s="11"/>
    </row>
    <row r="25" customFormat="false" ht="15" hidden="false" customHeight="false" outlineLevel="0" collapsed="false">
      <c r="A25" s="11"/>
      <c r="B25" s="11"/>
      <c r="C25" s="11"/>
      <c r="D25" s="11"/>
    </row>
    <row r="26" customFormat="false" ht="15" hidden="false" customHeight="false" outlineLevel="0" collapsed="false">
      <c r="A26" s="11"/>
      <c r="B26" s="11"/>
      <c r="C26" s="11"/>
      <c r="D26" s="11"/>
    </row>
    <row r="28" customFormat="false" ht="15" hidden="false" customHeight="false" outlineLevel="0" collapsed="false">
      <c r="A28" s="15" t="s">
        <v>631</v>
      </c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</row>
    <row r="33" customFormat="false" ht="15" hidden="false" customHeight="false" outlineLevel="0" collapsed="false">
      <c r="A33" s="3" t="s">
        <v>632</v>
      </c>
    </row>
    <row r="34" customFormat="false" ht="15" hidden="false" customHeight="false" outlineLevel="0" collapsed="false">
      <c r="A34" s="33" t="s">
        <v>633</v>
      </c>
    </row>
    <row r="35" customFormat="false" ht="15" hidden="false" customHeight="false" outlineLevel="0" collapsed="false">
      <c r="A35" s="33" t="s">
        <v>634</v>
      </c>
    </row>
    <row r="36" customFormat="false" ht="15" hidden="false" customHeight="false" outlineLevel="0" collapsed="false">
      <c r="A36" s="33" t="s">
        <v>635</v>
      </c>
    </row>
    <row r="37" customFormat="false" ht="15" hidden="false" customHeight="false" outlineLevel="0" collapsed="false">
      <c r="A37" s="33" t="s">
        <v>636</v>
      </c>
    </row>
    <row r="38" customFormat="false" ht="15" hidden="false" customHeight="false" outlineLevel="0" collapsed="false">
      <c r="A38" s="33" t="s">
        <v>637</v>
      </c>
    </row>
    <row r="40" customFormat="false" ht="15" hidden="false" customHeight="false" outlineLevel="0" collapsed="false">
      <c r="A40" s="15" t="s">
        <v>638</v>
      </c>
      <c r="D40" s="15" t="s">
        <v>639</v>
      </c>
    </row>
  </sheetData>
  <mergeCells count="1">
    <mergeCell ref="A29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62"/>
    <col collapsed="false" customWidth="true" hidden="false" outlineLevel="0" max="7" min="7" style="0" width="3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640</v>
      </c>
    </row>
    <row r="2" customFormat="false" ht="15" hidden="false" customHeight="false" outlineLevel="0" collapsed="false">
      <c r="A2" s="2" t="s">
        <v>641</v>
      </c>
    </row>
    <row r="4" customFormat="false" ht="15" hidden="false" customHeight="false" outlineLevel="0" collapsed="false">
      <c r="A4" s="10" t="s">
        <v>642</v>
      </c>
      <c r="B4" s="10" t="s">
        <v>643</v>
      </c>
      <c r="C4" s="10" t="s">
        <v>644</v>
      </c>
      <c r="D4" s="10" t="s">
        <v>645</v>
      </c>
      <c r="E4" s="10" t="s">
        <v>646</v>
      </c>
      <c r="F4" s="10" t="s">
        <v>647</v>
      </c>
      <c r="G4" s="10" t="s">
        <v>648</v>
      </c>
      <c r="H4" s="10" t="s">
        <v>649</v>
      </c>
    </row>
    <row r="5" customFormat="false" ht="35.05" hidden="false" customHeight="false" outlineLevel="0" collapsed="false">
      <c r="A5" s="11" t="s">
        <v>650</v>
      </c>
      <c r="B5" s="11" t="s">
        <v>651</v>
      </c>
      <c r="C5" s="11" t="s">
        <v>652</v>
      </c>
      <c r="D5" s="11" t="n">
        <v>4</v>
      </c>
      <c r="E5" s="11" t="s">
        <v>653</v>
      </c>
      <c r="F5" s="11" t="s">
        <v>654</v>
      </c>
      <c r="G5" s="11" t="s">
        <v>655</v>
      </c>
      <c r="H5" s="11" t="s">
        <v>656</v>
      </c>
    </row>
    <row r="6" customFormat="false" ht="35.05" hidden="false" customHeight="false" outlineLevel="0" collapsed="false">
      <c r="A6" s="11" t="s">
        <v>657</v>
      </c>
      <c r="B6" s="11" t="s">
        <v>658</v>
      </c>
      <c r="C6" s="11" t="s">
        <v>652</v>
      </c>
      <c r="D6" s="11" t="n">
        <v>4</v>
      </c>
      <c r="E6" s="11" t="s">
        <v>659</v>
      </c>
      <c r="F6" s="11" t="s">
        <v>660</v>
      </c>
      <c r="G6" s="11" t="s">
        <v>661</v>
      </c>
      <c r="H6" s="11" t="s">
        <v>662</v>
      </c>
    </row>
    <row r="7" customFormat="false" ht="46.25" hidden="false" customHeight="false" outlineLevel="0" collapsed="false">
      <c r="A7" s="11" t="s">
        <v>663</v>
      </c>
      <c r="B7" s="11" t="s">
        <v>664</v>
      </c>
      <c r="C7" s="11" t="s">
        <v>665</v>
      </c>
      <c r="D7" s="11" t="n">
        <v>3</v>
      </c>
      <c r="E7" s="11" t="s">
        <v>666</v>
      </c>
      <c r="F7" s="11" t="s">
        <v>667</v>
      </c>
      <c r="G7" s="11" t="s">
        <v>668</v>
      </c>
      <c r="H7" s="11" t="s">
        <v>669</v>
      </c>
    </row>
    <row r="8" customFormat="false" ht="46.25" hidden="false" customHeight="false" outlineLevel="0" collapsed="false">
      <c r="A8" s="11" t="s">
        <v>670</v>
      </c>
      <c r="B8" s="11" t="s">
        <v>671</v>
      </c>
      <c r="C8" s="11" t="s">
        <v>672</v>
      </c>
      <c r="D8" s="11" t="n">
        <v>2</v>
      </c>
      <c r="E8" s="11" t="s">
        <v>666</v>
      </c>
      <c r="F8" s="11" t="s">
        <v>673</v>
      </c>
      <c r="G8" s="11" t="s">
        <v>674</v>
      </c>
      <c r="H8" s="11" t="s">
        <v>675</v>
      </c>
    </row>
    <row r="9" customFormat="false" ht="35.05" hidden="false" customHeight="false" outlineLevel="0" collapsed="false">
      <c r="A9" s="11" t="s">
        <v>676</v>
      </c>
      <c r="B9" s="11" t="s">
        <v>677</v>
      </c>
      <c r="C9" s="11" t="s">
        <v>672</v>
      </c>
      <c r="D9" s="11" t="n">
        <v>4</v>
      </c>
      <c r="E9" s="11" t="s">
        <v>659</v>
      </c>
      <c r="F9" s="11" t="s">
        <v>678</v>
      </c>
      <c r="G9" s="11" t="s">
        <v>679</v>
      </c>
      <c r="H9" s="11" t="s">
        <v>680</v>
      </c>
    </row>
    <row r="10" customFormat="false" ht="23.85" hidden="false" customHeight="false" outlineLevel="0" collapsed="false">
      <c r="A10" s="11" t="s">
        <v>681</v>
      </c>
      <c r="B10" s="11" t="s">
        <v>682</v>
      </c>
      <c r="C10" s="11" t="s">
        <v>672</v>
      </c>
      <c r="D10" s="11" t="n">
        <v>2</v>
      </c>
      <c r="E10" s="11" t="s">
        <v>653</v>
      </c>
      <c r="F10" s="11" t="s">
        <v>683</v>
      </c>
      <c r="G10" s="11" t="s">
        <v>684</v>
      </c>
      <c r="H10" s="11" t="s">
        <v>685</v>
      </c>
    </row>
    <row r="11" customFormat="false" ht="23.85" hidden="false" customHeight="false" outlineLevel="0" collapsed="false">
      <c r="A11" s="11" t="s">
        <v>686</v>
      </c>
      <c r="B11" s="11" t="s">
        <v>687</v>
      </c>
      <c r="C11" s="11" t="s">
        <v>688</v>
      </c>
      <c r="D11" s="11" t="n">
        <v>1</v>
      </c>
      <c r="E11" s="11" t="s">
        <v>659</v>
      </c>
      <c r="F11" s="11" t="s">
        <v>689</v>
      </c>
      <c r="G11" s="11" t="s">
        <v>690</v>
      </c>
      <c r="H11" s="11" t="s">
        <v>691</v>
      </c>
    </row>
    <row r="12" customFormat="false" ht="15" hidden="false" customHeight="false" outlineLevel="0" collapsed="false">
      <c r="C12" s="15" t="s">
        <v>692</v>
      </c>
      <c r="D12" s="15" t="n">
        <f aca="false">SUM(D5:D11)</f>
        <v>20</v>
      </c>
    </row>
    <row r="14" customFormat="false" ht="15" hidden="false" customHeight="false" outlineLevel="0" collapsed="false">
      <c r="A14" s="15" t="s">
        <v>693</v>
      </c>
    </row>
    <row r="15" customFormat="false" ht="26.85" hidden="false" customHeight="false" outlineLevel="0" collapsed="false">
      <c r="A15" s="29" t="s">
        <v>694</v>
      </c>
      <c r="B15" s="29" t="s">
        <v>695</v>
      </c>
      <c r="C15" s="29" t="s">
        <v>696</v>
      </c>
      <c r="D15" s="29" t="s">
        <v>650</v>
      </c>
      <c r="E15" s="29" t="s">
        <v>657</v>
      </c>
      <c r="F15" s="29" t="s">
        <v>663</v>
      </c>
      <c r="G15" s="29" t="s">
        <v>670</v>
      </c>
      <c r="H15" s="29" t="s">
        <v>676</v>
      </c>
      <c r="I15" s="29" t="s">
        <v>681</v>
      </c>
      <c r="J15" s="29" t="s">
        <v>686</v>
      </c>
      <c r="K15" s="29" t="s">
        <v>697</v>
      </c>
      <c r="L15" s="29" t="s">
        <v>698</v>
      </c>
    </row>
    <row r="16" customFormat="false" ht="23.85" hidden="false" customHeight="false" outlineLevel="0" collapsed="false">
      <c r="A16" s="12" t="n">
        <v>1</v>
      </c>
      <c r="B16" s="34" t="s">
        <v>699</v>
      </c>
      <c r="C16" s="12" t="s">
        <v>700</v>
      </c>
      <c r="D16" s="35" t="n">
        <v>46329</v>
      </c>
      <c r="E16" s="35" t="n">
        <v>46329</v>
      </c>
      <c r="F16" s="35" t="n">
        <v>46329</v>
      </c>
      <c r="G16" s="35" t="n">
        <v>46329</v>
      </c>
      <c r="H16" s="35" t="n">
        <v>46329</v>
      </c>
      <c r="I16" s="35" t="n">
        <v>46329</v>
      </c>
      <c r="J16" s="35" t="n">
        <v>46329</v>
      </c>
      <c r="K16" s="12" t="str">
        <f aca="false">IF(B16="","",IF(COUNT(D16:J16)=7,"SIM","NÃO"))</f>
        <v>SIM</v>
      </c>
      <c r="L16" s="20" t="n">
        <f aca="false">IF(COUNT(D16:J16)=0,"",MAX(D16:J16)+365)</f>
        <v>46694</v>
      </c>
    </row>
    <row r="17" customFormat="false" ht="15" hidden="false" customHeight="false" outlineLevel="0" collapsed="false">
      <c r="A17" s="12" t="n">
        <v>2</v>
      </c>
      <c r="B17" s="12"/>
      <c r="C17" s="12"/>
      <c r="D17" s="36"/>
      <c r="E17" s="36"/>
      <c r="F17" s="36"/>
      <c r="G17" s="36"/>
      <c r="H17" s="36"/>
      <c r="I17" s="36"/>
      <c r="J17" s="36"/>
      <c r="K17" s="12" t="str">
        <f aca="false">IF(B17="","",IF(COUNT(D17:J17)=7,"SIM","NÃO"))</f>
        <v/>
      </c>
      <c r="L17" s="20" t="str">
        <f aca="false">IF(COUNT(D17:J17)=0,"",MAX(D17:J17)+365)</f>
        <v/>
      </c>
    </row>
    <row r="18" customFormat="false" ht="15" hidden="false" customHeight="false" outlineLevel="0" collapsed="false">
      <c r="A18" s="12" t="n">
        <v>3</v>
      </c>
      <c r="B18" s="12"/>
      <c r="C18" s="12"/>
      <c r="D18" s="36"/>
      <c r="E18" s="36"/>
      <c r="F18" s="36"/>
      <c r="G18" s="36"/>
      <c r="H18" s="36"/>
      <c r="I18" s="36"/>
      <c r="J18" s="36"/>
      <c r="K18" s="12" t="str">
        <f aca="false">IF(B18="","",IF(COUNT(D18:J18)=7,"SIM","NÃO"))</f>
        <v/>
      </c>
      <c r="L18" s="20" t="str">
        <f aca="false">IF(COUNT(D18:J18)=0,"",MAX(D18:J18)+365)</f>
        <v/>
      </c>
    </row>
    <row r="19" customFormat="false" ht="15" hidden="false" customHeight="false" outlineLevel="0" collapsed="false">
      <c r="A19" s="12" t="n">
        <v>4</v>
      </c>
      <c r="B19" s="12"/>
      <c r="C19" s="12"/>
      <c r="D19" s="36"/>
      <c r="E19" s="36"/>
      <c r="F19" s="36"/>
      <c r="G19" s="36"/>
      <c r="H19" s="36"/>
      <c r="I19" s="36"/>
      <c r="J19" s="36"/>
      <c r="K19" s="12" t="str">
        <f aca="false">IF(B19="","",IF(COUNT(D19:J19)=7,"SIM","NÃO"))</f>
        <v/>
      </c>
      <c r="L19" s="20" t="str">
        <f aca="false">IF(COUNT(D19:J19)=0,"",MAX(D19:J19)+365)</f>
        <v/>
      </c>
    </row>
    <row r="20" customFormat="false" ht="15" hidden="false" customHeight="false" outlineLevel="0" collapsed="false">
      <c r="A20" s="12" t="n">
        <v>5</v>
      </c>
      <c r="B20" s="12"/>
      <c r="C20" s="12"/>
      <c r="D20" s="36"/>
      <c r="E20" s="36"/>
      <c r="F20" s="36"/>
      <c r="G20" s="36"/>
      <c r="H20" s="36"/>
      <c r="I20" s="36"/>
      <c r="J20" s="36"/>
      <c r="K20" s="12" t="str">
        <f aca="false">IF(B20="","",IF(COUNT(D20:J20)=7,"SIM","NÃO"))</f>
        <v/>
      </c>
      <c r="L20" s="20" t="str">
        <f aca="false">IF(COUNT(D20:J20)=0,"",MAX(D20:J20)+365)</f>
        <v/>
      </c>
    </row>
    <row r="21" customFormat="false" ht="15" hidden="false" customHeight="false" outlineLevel="0" collapsed="false">
      <c r="A21" s="12" t="n">
        <v>6</v>
      </c>
      <c r="B21" s="12"/>
      <c r="C21" s="12"/>
      <c r="D21" s="36"/>
      <c r="E21" s="36"/>
      <c r="F21" s="36"/>
      <c r="G21" s="36"/>
      <c r="H21" s="36"/>
      <c r="I21" s="36"/>
      <c r="J21" s="36"/>
      <c r="K21" s="12" t="str">
        <f aca="false">IF(B21="","",IF(COUNT(D21:J21)=7,"SIM","NÃO"))</f>
        <v/>
      </c>
      <c r="L21" s="20" t="str">
        <f aca="false">IF(COUNT(D21:J21)=0,"",MAX(D21:J21)+365)</f>
        <v/>
      </c>
    </row>
    <row r="22" customFormat="false" ht="15" hidden="false" customHeight="false" outlineLevel="0" collapsed="false">
      <c r="A22" s="12" t="n">
        <v>7</v>
      </c>
      <c r="B22" s="12"/>
      <c r="C22" s="12"/>
      <c r="D22" s="36"/>
      <c r="E22" s="36"/>
      <c r="F22" s="36"/>
      <c r="G22" s="36"/>
      <c r="H22" s="36"/>
      <c r="I22" s="36"/>
      <c r="J22" s="36"/>
      <c r="K22" s="12" t="str">
        <f aca="false">IF(B22="","",IF(COUNT(D22:J22)=7,"SIM","NÃO"))</f>
        <v/>
      </c>
      <c r="L22" s="20" t="str">
        <f aca="false">IF(COUNT(D22:J22)=0,"",MAX(D22:J22)+365)</f>
        <v/>
      </c>
    </row>
    <row r="23" customFormat="false" ht="15" hidden="false" customHeight="false" outlineLevel="0" collapsed="false">
      <c r="A23" s="12" t="n">
        <v>8</v>
      </c>
      <c r="B23" s="12"/>
      <c r="C23" s="12"/>
      <c r="D23" s="36"/>
      <c r="E23" s="36"/>
      <c r="F23" s="36"/>
      <c r="G23" s="36"/>
      <c r="H23" s="36"/>
      <c r="I23" s="36"/>
      <c r="J23" s="36"/>
      <c r="K23" s="12" t="str">
        <f aca="false">IF(B23="","",IF(COUNT(D23:J23)=7,"SIM","NÃO"))</f>
        <v/>
      </c>
      <c r="L23" s="20" t="str">
        <f aca="false">IF(COUNT(D23:J23)=0,"",MAX(D23:J23)+365)</f>
        <v/>
      </c>
    </row>
  </sheetData>
  <conditionalFormatting sqref="K16:K23">
    <cfRule type="cellIs" priority="2" operator="equal" aboveAverage="0" equalAverage="0" bottom="0" percent="0" rank="0" text="" dxfId="10">
      <formula>"SIM"</formula>
    </cfRule>
    <cfRule type="cellIs" priority="3" operator="equal" aboveAverage="0" equalAverage="0" bottom="0" percent="0" rank="0" text="" dxfId="11">
      <formula>"NÃO"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701</v>
      </c>
    </row>
    <row r="2" customFormat="false" ht="15" hidden="false" customHeight="false" outlineLevel="0" collapsed="false">
      <c r="A2" s="2" t="s">
        <v>702</v>
      </c>
    </row>
    <row r="4" customFormat="false" ht="15" hidden="false" customHeight="false" outlineLevel="0" collapsed="false">
      <c r="A4" s="10" t="s">
        <v>703</v>
      </c>
      <c r="B4" s="10" t="s">
        <v>704</v>
      </c>
      <c r="C4" s="10" t="s">
        <v>705</v>
      </c>
      <c r="D4" s="10" t="s">
        <v>706</v>
      </c>
      <c r="E4" s="10" t="s">
        <v>707</v>
      </c>
    </row>
    <row r="5" customFormat="false" ht="35.05" hidden="false" customHeight="false" outlineLevel="0" collapsed="false">
      <c r="A5" s="11" t="s">
        <v>708</v>
      </c>
      <c r="B5" s="11" t="s">
        <v>709</v>
      </c>
      <c r="C5" s="11" t="s">
        <v>710</v>
      </c>
      <c r="D5" s="11" t="s">
        <v>448</v>
      </c>
      <c r="E5" s="11" t="s">
        <v>711</v>
      </c>
    </row>
    <row r="6" customFormat="false" ht="23.85" hidden="false" customHeight="false" outlineLevel="0" collapsed="false">
      <c r="A6" s="11" t="s">
        <v>712</v>
      </c>
      <c r="B6" s="11" t="s">
        <v>713</v>
      </c>
      <c r="C6" s="11" t="s">
        <v>714</v>
      </c>
      <c r="D6" s="11" t="s">
        <v>448</v>
      </c>
      <c r="E6" s="11" t="s">
        <v>715</v>
      </c>
    </row>
    <row r="7" customFormat="false" ht="23.85" hidden="false" customHeight="false" outlineLevel="0" collapsed="false">
      <c r="A7" s="11" t="s">
        <v>716</v>
      </c>
      <c r="B7" s="11" t="s">
        <v>717</v>
      </c>
      <c r="C7" s="11" t="s">
        <v>260</v>
      </c>
      <c r="D7" s="11" t="s">
        <v>718</v>
      </c>
      <c r="E7" s="11" t="s">
        <v>719</v>
      </c>
    </row>
    <row r="8" customFormat="false" ht="23.85" hidden="false" customHeight="false" outlineLevel="0" collapsed="false">
      <c r="A8" s="11" t="s">
        <v>720</v>
      </c>
      <c r="B8" s="11" t="s">
        <v>721</v>
      </c>
      <c r="C8" s="11" t="s">
        <v>722</v>
      </c>
      <c r="D8" s="11" t="s">
        <v>723</v>
      </c>
      <c r="E8" s="11" t="s">
        <v>724</v>
      </c>
    </row>
    <row r="9" customFormat="false" ht="23.85" hidden="false" customHeight="false" outlineLevel="0" collapsed="false">
      <c r="A9" s="11" t="s">
        <v>725</v>
      </c>
      <c r="B9" s="11" t="s">
        <v>726</v>
      </c>
      <c r="C9" s="11" t="s">
        <v>727</v>
      </c>
      <c r="D9" s="11" t="s">
        <v>728</v>
      </c>
      <c r="E9" s="11" t="s">
        <v>729</v>
      </c>
    </row>
    <row r="10" customFormat="false" ht="23.85" hidden="false" customHeight="false" outlineLevel="0" collapsed="false">
      <c r="A10" s="11" t="s">
        <v>730</v>
      </c>
      <c r="B10" s="11" t="s">
        <v>731</v>
      </c>
      <c r="C10" s="11" t="s">
        <v>732</v>
      </c>
      <c r="D10" s="11" t="s">
        <v>448</v>
      </c>
      <c r="E10" s="11" t="s">
        <v>733</v>
      </c>
    </row>
    <row r="11" customFormat="false" ht="23.85" hidden="false" customHeight="false" outlineLevel="0" collapsed="false">
      <c r="A11" s="11" t="s">
        <v>734</v>
      </c>
      <c r="B11" s="11" t="s">
        <v>735</v>
      </c>
      <c r="C11" s="11" t="s">
        <v>736</v>
      </c>
      <c r="D11" s="11" t="s">
        <v>737</v>
      </c>
      <c r="E11" s="11" t="s">
        <v>738</v>
      </c>
    </row>
    <row r="12" customFormat="false" ht="23.85" hidden="false" customHeight="false" outlineLevel="0" collapsed="false">
      <c r="A12" s="11" t="s">
        <v>739</v>
      </c>
      <c r="B12" s="11" t="s">
        <v>740</v>
      </c>
      <c r="C12" s="11" t="s">
        <v>741</v>
      </c>
      <c r="D12" s="11" t="s">
        <v>448</v>
      </c>
      <c r="E12" s="11" t="s">
        <v>742</v>
      </c>
    </row>
    <row r="13" customFormat="false" ht="15" hidden="false" customHeight="false" outlineLevel="0" collapsed="false">
      <c r="A13" s="11" t="s">
        <v>743</v>
      </c>
      <c r="B13" s="11" t="s">
        <v>740</v>
      </c>
      <c r="C13" s="11" t="s">
        <v>744</v>
      </c>
      <c r="D13" s="11" t="s">
        <v>745</v>
      </c>
      <c r="E13" s="11" t="s">
        <v>746</v>
      </c>
    </row>
    <row r="14" customFormat="false" ht="15" hidden="false" customHeight="false" outlineLevel="0" collapsed="false">
      <c r="A14" s="11" t="s">
        <v>747</v>
      </c>
      <c r="B14" s="11" t="s">
        <v>748</v>
      </c>
      <c r="C14" s="11" t="s">
        <v>749</v>
      </c>
      <c r="D14" s="11" t="s">
        <v>750</v>
      </c>
      <c r="E14" s="11" t="s">
        <v>751</v>
      </c>
    </row>
    <row r="15" customFormat="false" ht="35.05" hidden="false" customHeight="false" outlineLevel="0" collapsed="false">
      <c r="A15" s="11" t="s">
        <v>752</v>
      </c>
      <c r="B15" s="11" t="s">
        <v>753</v>
      </c>
      <c r="C15" s="11" t="s">
        <v>754</v>
      </c>
      <c r="D15" s="11" t="s">
        <v>755</v>
      </c>
      <c r="E15" s="11" t="s">
        <v>756</v>
      </c>
    </row>
    <row r="16" customFormat="false" ht="23.85" hidden="false" customHeight="false" outlineLevel="0" collapsed="false">
      <c r="A16" s="11" t="s">
        <v>757</v>
      </c>
      <c r="B16" s="11" t="s">
        <v>758</v>
      </c>
      <c r="C16" s="11" t="s">
        <v>759</v>
      </c>
      <c r="D16" s="11" t="s">
        <v>448</v>
      </c>
      <c r="E16" s="11" t="s">
        <v>760</v>
      </c>
    </row>
    <row r="17" customFormat="false" ht="15" hidden="false" customHeight="false" outlineLevel="0" collapsed="false">
      <c r="A17" s="11" t="s">
        <v>761</v>
      </c>
      <c r="B17" s="11" t="s">
        <v>762</v>
      </c>
      <c r="C17" s="11" t="s">
        <v>763</v>
      </c>
      <c r="D17" s="11" t="s">
        <v>448</v>
      </c>
      <c r="E17" s="11" t="s">
        <v>764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3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765</v>
      </c>
    </row>
    <row r="2" customFormat="false" ht="15" hidden="false" customHeight="false" outlineLevel="0" collapsed="false">
      <c r="A2" s="2" t="s">
        <v>766</v>
      </c>
    </row>
    <row r="4" customFormat="false" ht="15" hidden="false" customHeight="false" outlineLevel="0" collapsed="false">
      <c r="A4" s="10" t="s">
        <v>767</v>
      </c>
      <c r="B4" s="10" t="s">
        <v>574</v>
      </c>
      <c r="C4" s="10" t="s">
        <v>768</v>
      </c>
      <c r="D4" s="10" t="s">
        <v>769</v>
      </c>
      <c r="E4" s="10" t="s">
        <v>770</v>
      </c>
    </row>
    <row r="5" customFormat="false" ht="15" hidden="false" customHeight="false" outlineLevel="0" collapsed="false">
      <c r="A5" s="11" t="s">
        <v>771</v>
      </c>
      <c r="B5" s="11" t="s">
        <v>772</v>
      </c>
      <c r="C5" s="11" t="s">
        <v>773</v>
      </c>
      <c r="D5" s="11" t="s">
        <v>774</v>
      </c>
      <c r="E5" s="11" t="s">
        <v>775</v>
      </c>
    </row>
    <row r="6" customFormat="false" ht="23.85" hidden="false" customHeight="false" outlineLevel="0" collapsed="false">
      <c r="A6" s="11" t="s">
        <v>771</v>
      </c>
      <c r="B6" s="11" t="s">
        <v>776</v>
      </c>
      <c r="C6" s="11" t="s">
        <v>777</v>
      </c>
      <c r="D6" s="11" t="s">
        <v>778</v>
      </c>
      <c r="E6" s="11" t="s">
        <v>779</v>
      </c>
    </row>
    <row r="7" customFormat="false" ht="23.85" hidden="false" customHeight="false" outlineLevel="0" collapsed="false">
      <c r="A7" s="11" t="s">
        <v>771</v>
      </c>
      <c r="B7" s="11" t="s">
        <v>780</v>
      </c>
      <c r="C7" s="11" t="s">
        <v>781</v>
      </c>
      <c r="D7" s="11" t="s">
        <v>782</v>
      </c>
      <c r="E7" s="11" t="s">
        <v>783</v>
      </c>
    </row>
    <row r="8" customFormat="false" ht="15" hidden="false" customHeight="false" outlineLevel="0" collapsed="false">
      <c r="A8" s="11" t="s">
        <v>771</v>
      </c>
      <c r="B8" s="11" t="s">
        <v>784</v>
      </c>
      <c r="C8" s="11" t="s">
        <v>785</v>
      </c>
      <c r="D8" s="11" t="s">
        <v>503</v>
      </c>
      <c r="E8" s="11" t="s">
        <v>786</v>
      </c>
    </row>
    <row r="9" customFormat="false" ht="15" hidden="false" customHeight="false" outlineLevel="0" collapsed="false">
      <c r="A9" s="11" t="s">
        <v>771</v>
      </c>
      <c r="B9" s="11" t="s">
        <v>787</v>
      </c>
      <c r="C9" s="11" t="s">
        <v>788</v>
      </c>
      <c r="D9" s="11" t="s">
        <v>789</v>
      </c>
      <c r="E9" s="11" t="s">
        <v>786</v>
      </c>
    </row>
    <row r="10" customFormat="false" ht="15" hidden="false" customHeight="false" outlineLevel="0" collapsed="false">
      <c r="A10" s="11" t="s">
        <v>32</v>
      </c>
      <c r="B10" s="11" t="s">
        <v>790</v>
      </c>
      <c r="C10" s="11" t="s">
        <v>791</v>
      </c>
      <c r="D10" s="11" t="s">
        <v>368</v>
      </c>
      <c r="E10" s="11" t="s">
        <v>792</v>
      </c>
    </row>
    <row r="11" customFormat="false" ht="23.85" hidden="false" customHeight="false" outlineLevel="0" collapsed="false">
      <c r="A11" s="11" t="s">
        <v>32</v>
      </c>
      <c r="B11" s="11" t="s">
        <v>793</v>
      </c>
      <c r="C11" s="11" t="s">
        <v>794</v>
      </c>
      <c r="D11" s="11" t="s">
        <v>795</v>
      </c>
      <c r="E11" s="11" t="s">
        <v>796</v>
      </c>
    </row>
    <row r="12" customFormat="false" ht="15" hidden="false" customHeight="false" outlineLevel="0" collapsed="false">
      <c r="A12" s="11" t="s">
        <v>797</v>
      </c>
      <c r="B12" s="11" t="s">
        <v>798</v>
      </c>
      <c r="C12" s="11" t="s">
        <v>799</v>
      </c>
      <c r="D12" s="11" t="s">
        <v>800</v>
      </c>
      <c r="E12" s="11" t="s">
        <v>801</v>
      </c>
    </row>
    <row r="13" customFormat="false" ht="15" hidden="false" customHeight="false" outlineLevel="0" collapsed="false">
      <c r="A13" s="11" t="s">
        <v>797</v>
      </c>
      <c r="B13" s="11" t="s">
        <v>802</v>
      </c>
      <c r="C13" s="11" t="s">
        <v>803</v>
      </c>
      <c r="D13" s="11" t="s">
        <v>804</v>
      </c>
      <c r="E13" s="11" t="s">
        <v>805</v>
      </c>
    </row>
    <row r="14" customFormat="false" ht="23.85" hidden="false" customHeight="false" outlineLevel="0" collapsed="false">
      <c r="A14" s="11" t="s">
        <v>806</v>
      </c>
      <c r="B14" s="11" t="s">
        <v>807</v>
      </c>
      <c r="C14" s="11" t="s">
        <v>808</v>
      </c>
      <c r="D14" s="11" t="s">
        <v>809</v>
      </c>
      <c r="E14" s="11" t="s">
        <v>111</v>
      </c>
    </row>
    <row r="15" customFormat="false" ht="15" hidden="false" customHeight="false" outlineLevel="0" collapsed="false">
      <c r="A15" s="11" t="s">
        <v>806</v>
      </c>
      <c r="B15" s="11" t="s">
        <v>810</v>
      </c>
      <c r="C15" s="11" t="s">
        <v>811</v>
      </c>
      <c r="D15" s="11" t="s">
        <v>812</v>
      </c>
      <c r="E15" s="11" t="s">
        <v>813</v>
      </c>
    </row>
    <row r="16" customFormat="false" ht="23.85" hidden="false" customHeight="false" outlineLevel="0" collapsed="false">
      <c r="A16" s="11" t="s">
        <v>806</v>
      </c>
      <c r="B16" s="11" t="s">
        <v>814</v>
      </c>
      <c r="C16" s="11" t="s">
        <v>815</v>
      </c>
      <c r="D16" s="11" t="s">
        <v>816</v>
      </c>
      <c r="E16" s="11" t="s">
        <v>424</v>
      </c>
    </row>
    <row r="17" customFormat="false" ht="15" hidden="false" customHeight="false" outlineLevel="0" collapsed="false">
      <c r="A17" s="11" t="s">
        <v>806</v>
      </c>
      <c r="B17" s="11" t="s">
        <v>401</v>
      </c>
      <c r="C17" s="11" t="s">
        <v>817</v>
      </c>
      <c r="D17" s="11" t="s">
        <v>818</v>
      </c>
      <c r="E17" s="11" t="s">
        <v>317</v>
      </c>
    </row>
    <row r="18" customFormat="false" ht="15" hidden="false" customHeight="false" outlineLevel="0" collapsed="false">
      <c r="A18" s="11" t="s">
        <v>806</v>
      </c>
      <c r="B18" s="11" t="s">
        <v>819</v>
      </c>
      <c r="C18" s="11" t="s">
        <v>820</v>
      </c>
      <c r="D18" s="11" t="s">
        <v>435</v>
      </c>
      <c r="E18" s="11" t="s">
        <v>260</v>
      </c>
    </row>
    <row r="19" customFormat="false" ht="15" hidden="false" customHeight="false" outlineLevel="0" collapsed="false">
      <c r="A19" s="11" t="s">
        <v>806</v>
      </c>
      <c r="B19" s="11" t="s">
        <v>821</v>
      </c>
      <c r="C19" s="11" t="s">
        <v>822</v>
      </c>
      <c r="D19" s="11" t="s">
        <v>368</v>
      </c>
      <c r="E19" s="11" t="s">
        <v>823</v>
      </c>
    </row>
    <row r="20" customFormat="false" ht="15" hidden="false" customHeight="false" outlineLevel="0" collapsed="false">
      <c r="A20" s="11" t="s">
        <v>806</v>
      </c>
      <c r="B20" s="11" t="s">
        <v>824</v>
      </c>
      <c r="C20" s="11" t="s">
        <v>825</v>
      </c>
      <c r="D20" s="11" t="s">
        <v>826</v>
      </c>
      <c r="E20" s="11" t="s">
        <v>827</v>
      </c>
    </row>
    <row r="21" customFormat="false" ht="23.85" hidden="false" customHeight="false" outlineLevel="0" collapsed="false">
      <c r="A21" s="11" t="s">
        <v>806</v>
      </c>
      <c r="B21" s="11" t="s">
        <v>396</v>
      </c>
      <c r="C21" s="11" t="s">
        <v>828</v>
      </c>
      <c r="D21" s="11" t="s">
        <v>829</v>
      </c>
      <c r="E21" s="11" t="s">
        <v>260</v>
      </c>
    </row>
    <row r="22" customFormat="false" ht="23.85" hidden="false" customHeight="false" outlineLevel="0" collapsed="false">
      <c r="A22" s="11" t="s">
        <v>284</v>
      </c>
      <c r="B22" s="11" t="s">
        <v>830</v>
      </c>
      <c r="C22" s="11" t="s">
        <v>831</v>
      </c>
      <c r="D22" s="11" t="s">
        <v>832</v>
      </c>
      <c r="E22" s="11" t="s">
        <v>833</v>
      </c>
    </row>
    <row r="23" customFormat="false" ht="15" hidden="false" customHeight="false" outlineLevel="0" collapsed="false">
      <c r="A23" s="11" t="s">
        <v>284</v>
      </c>
      <c r="B23" s="11" t="s">
        <v>834</v>
      </c>
      <c r="C23" s="11" t="s">
        <v>835</v>
      </c>
      <c r="D23" s="11" t="s">
        <v>836</v>
      </c>
      <c r="E23" s="11" t="s">
        <v>837</v>
      </c>
    </row>
    <row r="24" customFormat="false" ht="15" hidden="false" customHeight="false" outlineLevel="0" collapsed="false">
      <c r="A24" s="11" t="s">
        <v>284</v>
      </c>
      <c r="B24" s="11" t="s">
        <v>838</v>
      </c>
      <c r="C24" s="11" t="s">
        <v>839</v>
      </c>
      <c r="D24" s="11" t="s">
        <v>840</v>
      </c>
      <c r="E24" s="11" t="s">
        <v>841</v>
      </c>
    </row>
    <row r="25" customFormat="false" ht="23.85" hidden="false" customHeight="false" outlineLevel="0" collapsed="false">
      <c r="A25" s="11" t="s">
        <v>284</v>
      </c>
      <c r="B25" s="11" t="s">
        <v>842</v>
      </c>
      <c r="C25" s="11" t="s">
        <v>843</v>
      </c>
      <c r="D25" s="11" t="s">
        <v>844</v>
      </c>
      <c r="E25" s="11" t="s">
        <v>424</v>
      </c>
    </row>
    <row r="26" customFormat="false" ht="23.85" hidden="false" customHeight="false" outlineLevel="0" collapsed="false">
      <c r="A26" s="11" t="s">
        <v>250</v>
      </c>
      <c r="B26" s="11" t="s">
        <v>845</v>
      </c>
      <c r="C26" s="11" t="s">
        <v>846</v>
      </c>
      <c r="D26" s="11" t="s">
        <v>847</v>
      </c>
      <c r="E26" s="11" t="s">
        <v>848</v>
      </c>
    </row>
    <row r="27" customFormat="false" ht="15" hidden="false" customHeight="false" outlineLevel="0" collapsed="false">
      <c r="A27" s="11" t="s">
        <v>250</v>
      </c>
      <c r="B27" s="11" t="s">
        <v>849</v>
      </c>
      <c r="C27" s="11" t="s">
        <v>850</v>
      </c>
      <c r="D27" s="11" t="s">
        <v>32</v>
      </c>
      <c r="E27" s="11" t="s">
        <v>848</v>
      </c>
    </row>
    <row r="28" customFormat="false" ht="15" hidden="false" customHeight="false" outlineLevel="0" collapsed="false">
      <c r="A28" s="11" t="s">
        <v>250</v>
      </c>
      <c r="B28" s="11" t="s">
        <v>851</v>
      </c>
      <c r="C28" s="11" t="s">
        <v>852</v>
      </c>
      <c r="D28" s="11" t="s">
        <v>32</v>
      </c>
      <c r="E28" s="11" t="s">
        <v>853</v>
      </c>
    </row>
    <row r="29" customFormat="false" ht="15" hidden="false" customHeight="false" outlineLevel="0" collapsed="false">
      <c r="A29" s="11" t="s">
        <v>250</v>
      </c>
      <c r="B29" s="11" t="s">
        <v>854</v>
      </c>
      <c r="C29" s="11" t="s">
        <v>855</v>
      </c>
      <c r="D29" s="11" t="s">
        <v>856</v>
      </c>
      <c r="E29" s="11" t="s">
        <v>857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2026-10-19T12:40:50Z</dcterms:created>
  <dc:creator>openpyxl</dc:creator>
  <dc:description/>
  <dc:language>en-US</dc:language>
  <cp:lastModifiedBy/>
  <dcterms:modified xsi:type="dcterms:W3CDTF">2026-10-19T12:40:50Z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